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Property Info" sheetId="3" state="visible" r:id="rId5"/>
    <sheet name="Market Assumptions" sheetId="4" state="visible" r:id="rId6"/>
    <sheet name="Development Costs" sheetId="5" state="visible" r:id="rId7"/>
    <sheet name="Holding Costs" sheetId="6" state="visible" r:id="rId8"/>
    <sheet name="Discount Rate Support" sheetId="7" state="visible" r:id="rId9"/>
    <sheet name="Absorption Schedule" sheetId="8" state="visible" r:id="rId10"/>
    <sheet name="DCF Model" sheetId="9" state="visible" r:id="rId11"/>
    <sheet name="Bulk Sale Analysis" sheetId="10" state="visible" r:id="rId12"/>
    <sheet name="Sensitivity Tables" sheetId="11" state="visible" r:id="rId13"/>
    <sheet name="Report Exhibits" sheetId="12" state="visible" r:id="rId14"/>
    <sheet name="Reviewer Checks"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<sst xmlns="http://schemas.openxmlformats.org/spreadsheetml/2006/main" count="306" uniqueCount="251">
  <si>
    <t xml:space="preserve">INSITE Standard Discounted Cash Flow &amp; Bulk Sale Analysis Workbook</t>
  </si>
  <si>
    <t xml:space="preserve">Workbook Publication</t>
  </si>
  <si>
    <t xml:space="preserve">INS-102A</t>
  </si>
  <si>
    <t xml:space="preserve">Workbook Version</t>
  </si>
  <si>
    <t xml:space="preserve">Version 1.0</t>
  </si>
  <si>
    <t xml:space="preserve">Prepared For</t>
  </si>
  <si>
    <t xml:space="preserve">INSITE Development Impact &amp; School Fee Financing Program</t>
  </si>
  <si>
    <t xml:space="preserve">Program Administrator</t>
  </si>
  <si>
    <t xml:space="preserve">HGF Management Company</t>
  </si>
  <si>
    <t xml:space="preserve">Workbook Purpose</t>
  </si>
  <si>
    <t xml:space="preserve">Standardized DCF and Bulk Sale Analysis for INSITE appraisal assignments</t>
  </si>
  <si>
    <t xml:space="preserve">Property Name</t>
  </si>
  <si>
    <t xml:space="preserve">County</t>
  </si>
  <si>
    <t xml:space="preserve">Appraiser</t>
  </si>
  <si>
    <t xml:space="preserve">Effective Date of Value</t>
  </si>
  <si>
    <t xml:space="preserve">Report Date</t>
  </si>
  <si>
    <t xml:space="preserve">Reviewed By</t>
  </si>
  <si>
    <t xml:space="preserve">Revision Notes</t>
  </si>
  <si>
    <t xml:space="preserve">This workbook is intended to standardize the presentation and calculation of discounted cash flow and bulk sale analyses for INSITE appraisal assignments. The appraiser remains responsible for selecting and supporting all inputs, assumptions, and conclusions in accordance with USPAP, CDIAC guidance, and the INSITE Appraisal Standards Manual.</t>
  </si>
  <si>
    <t xml:space="preserve">Workbook Instructions</t>
  </si>
  <si>
    <t xml:space="preserve">Use this workbook when a Bulk Sale Analysis and/or Discounted Cash Flow analysis is required under Chapter 8 of the INSITE Appraisal Standards Manual.</t>
  </si>
  <si>
    <t xml:space="preserve">Color Conventions</t>
  </si>
  <si>
    <t xml:space="preserve">Color / Font</t>
  </si>
  <si>
    <t xml:space="preserve">Meaning</t>
  </si>
  <si>
    <t xml:space="preserve">User Action</t>
  </si>
  <si>
    <t xml:space="preserve">Notes</t>
  </si>
  <si>
    <t xml:space="preserve">Yellow fill + blue font</t>
  </si>
  <si>
    <t xml:space="preserve">Hardcoded input</t>
  </si>
  <si>
    <t xml:space="preserve">Enter or update</t>
  </si>
  <si>
    <t xml:space="preserve">Assumptions must be supported by market evidence.</t>
  </si>
  <si>
    <t xml:space="preserve">Gray fill + black font</t>
  </si>
  <si>
    <t xml:space="preserve">Formula / calculation</t>
  </si>
  <si>
    <t xml:space="preserve">Do not overwrite</t>
  </si>
  <si>
    <t xml:space="preserve">Formula cells are intended to remain protected.</t>
  </si>
  <si>
    <t xml:space="preserve">Green font</t>
  </si>
  <si>
    <t xml:space="preserve">Linked value from another sheet</t>
  </si>
  <si>
    <t xml:space="preserve">Review only</t>
  </si>
  <si>
    <t xml:space="preserve">Trace back to source sheet for support.</t>
  </si>
  <si>
    <t xml:space="preserve">Forest green header</t>
  </si>
  <si>
    <t xml:space="preserve">Section heading</t>
  </si>
  <si>
    <t xml:space="preserve">N/A</t>
  </si>
  <si>
    <t xml:space="preserve">Standard INSITE format.</t>
  </si>
  <si>
    <t xml:space="preserve">Required Workflow</t>
  </si>
  <si>
    <t xml:space="preserve">Step 1</t>
  </si>
  <si>
    <t xml:space="preserve">Complete Property Info.</t>
  </si>
  <si>
    <t xml:space="preserve">Step 2</t>
  </si>
  <si>
    <t xml:space="preserve">Enter Market Assumptions with source/support notes.</t>
  </si>
  <si>
    <t xml:space="preserve">Step 3</t>
  </si>
  <si>
    <t xml:space="preserve">Enter remaining development, soft, holding, and selling costs.</t>
  </si>
  <si>
    <t xml:space="preserve">Step 4</t>
  </si>
  <si>
    <t xml:space="preserve">Complete Discount Rate Support.</t>
  </si>
  <si>
    <t xml:space="preserve">Step 5</t>
  </si>
  <si>
    <t xml:space="preserve">Review Absorption Schedule and DCF Model.</t>
  </si>
  <si>
    <t xml:space="preserve">Step 6</t>
  </si>
  <si>
    <t xml:space="preserve">Review Bulk Sale Analysis and Sensitivity Tables.</t>
  </si>
  <si>
    <t xml:space="preserve">Step 7</t>
  </si>
  <si>
    <t xml:space="preserve">Copy Report Exhibits into the appraisal report.</t>
  </si>
  <si>
    <t xml:space="preserve">Step 8</t>
  </si>
  <si>
    <t xml:space="preserve">Submit workbook with appraisal report and retain in workfile.</t>
  </si>
  <si>
    <t xml:space="preserve">Property Information</t>
  </si>
  <si>
    <t xml:space="preserve">Input</t>
  </si>
  <si>
    <t xml:space="preserve">Value</t>
  </si>
  <si>
    <t xml:space="preserve">Source / Support</t>
  </si>
  <si>
    <t xml:space="preserve">City</t>
  </si>
  <si>
    <t xml:space="preserve">Appraisal engagement / inspection date</t>
  </si>
  <si>
    <t xml:space="preserve">APNs</t>
  </si>
  <si>
    <t xml:space="preserve">List all parcels included.</t>
  </si>
  <si>
    <t xml:space="preserve">Current Owner</t>
  </si>
  <si>
    <t xml:space="preserve">Gross Acres</t>
  </si>
  <si>
    <t xml:space="preserve">Net Developable Acres</t>
  </si>
  <si>
    <t xml:space="preserve">Total Lots / Units</t>
  </si>
  <si>
    <t xml:space="preserve">Used as beginning inventory.</t>
  </si>
  <si>
    <t xml:space="preserve">Current Development Stage</t>
  </si>
  <si>
    <t xml:space="preserve">Raw, entitled, mass graded, blue-top, finished lots, etc.</t>
  </si>
  <si>
    <t xml:space="preserve">Highest &amp; Best Use</t>
  </si>
  <si>
    <t xml:space="preserve">Zoning</t>
  </si>
  <si>
    <t xml:space="preserve">General Plan / Specific Plan</t>
  </si>
  <si>
    <t xml:space="preserve">Existing CFDs / Assessments</t>
  </si>
  <si>
    <t xml:space="preserve">Market Assumptions</t>
  </si>
  <si>
    <t xml:space="preserve">Assumption</t>
  </si>
  <si>
    <t xml:space="preserve">Unit / Format</t>
  </si>
  <si>
    <t xml:space="preserve">Beginning Lot / Unit Sale Price</t>
  </si>
  <si>
    <t xml:space="preserve">$ / lot</t>
  </si>
  <si>
    <t xml:space="preserve">Annual Price Appreciation</t>
  </si>
  <si>
    <t xml:space="preserve">%</t>
  </si>
  <si>
    <t xml:space="preserve">Monthly Absorption</t>
  </si>
  <si>
    <t xml:space="preserve">lots / month</t>
  </si>
  <si>
    <t xml:space="preserve">Marketing &amp; Selling Cost</t>
  </si>
  <si>
    <t xml:space="preserve">% of gross revenue</t>
  </si>
  <si>
    <t xml:space="preserve">Developer Profit / Incentive</t>
  </si>
  <si>
    <t xml:space="preserve">Builder Incentives</t>
  </si>
  <si>
    <t xml:space="preserve">$ / lot or % if separately modeled</t>
  </si>
  <si>
    <t xml:space="preserve">Development Cost Period</t>
  </si>
  <si>
    <t xml:space="preserve">months</t>
  </si>
  <si>
    <t xml:space="preserve">Soft Cost Period</t>
  </si>
  <si>
    <t xml:space="preserve">Analysis Period</t>
  </si>
  <si>
    <t xml:space="preserve">Workbook model currently supports 60 months.</t>
  </si>
  <si>
    <t xml:space="preserve">Cash Flow Frequency</t>
  </si>
  <si>
    <t xml:space="preserve">Monthly</t>
  </si>
  <si>
    <t xml:space="preserve">Primary Market Evidence</t>
  </si>
  <si>
    <t xml:space="preserve">Text</t>
  </si>
  <si>
    <t xml:space="preserve">Market Risk Notes</t>
  </si>
  <si>
    <t xml:space="preserve">Development Costs</t>
  </si>
  <si>
    <t xml:space="preserve">Remaining Hard Costs</t>
  </si>
  <si>
    <t xml:space="preserve">Cost Item</t>
  </si>
  <si>
    <t xml:space="preserve">Amount</t>
  </si>
  <si>
    <t xml:space="preserve">Timing / Notes</t>
  </si>
  <si>
    <t xml:space="preserve">Onsite Improvements</t>
  </si>
  <si>
    <t xml:space="preserve">Offsite Improvements</t>
  </si>
  <si>
    <t xml:space="preserve">Utilities</t>
  </si>
  <si>
    <t xml:space="preserve">Grading</t>
  </si>
  <si>
    <t xml:space="preserve">Storm Drain / Drainage</t>
  </si>
  <si>
    <t xml:space="preserve">Roads / Curbs / Gutters</t>
  </si>
  <si>
    <t xml:space="preserve">Contingency</t>
  </si>
  <si>
    <t xml:space="preserve">Other Hard Costs</t>
  </si>
  <si>
    <t xml:space="preserve">Total Remaining Hard Costs</t>
  </si>
  <si>
    <t xml:space="preserve">Remaining Soft Costs</t>
  </si>
  <si>
    <t xml:space="preserve">Engineering</t>
  </si>
  <si>
    <t xml:space="preserve">Surveying</t>
  </si>
  <si>
    <t xml:space="preserve">Architecture / Planning</t>
  </si>
  <si>
    <t xml:space="preserve">Permitting</t>
  </si>
  <si>
    <t xml:space="preserve">Legal / Administrative</t>
  </si>
  <si>
    <t xml:space="preserve">Environmental</t>
  </si>
  <si>
    <t xml:space="preserve">Other Soft Costs</t>
  </si>
  <si>
    <t xml:space="preserve">Total Remaining Soft Costs</t>
  </si>
  <si>
    <t xml:space="preserve">Monthly Holding Costs</t>
  </si>
  <si>
    <t xml:space="preserve">Monthly Amount</t>
  </si>
  <si>
    <t xml:space="preserve">Property Taxes</t>
  </si>
  <si>
    <t xml:space="preserve">Insurance</t>
  </si>
  <si>
    <t xml:space="preserve">HOA / Maintenance</t>
  </si>
  <si>
    <t xml:space="preserve">Security</t>
  </si>
  <si>
    <t xml:space="preserve">Administrative</t>
  </si>
  <si>
    <t xml:space="preserve">Other Carrying Costs</t>
  </si>
  <si>
    <t xml:space="preserve">Total Monthly Holding Costs</t>
  </si>
  <si>
    <t xml:space="preserve">Annualized Holding Costs</t>
  </si>
  <si>
    <t xml:space="preserve">Holding Cost per Lot / Month</t>
  </si>
  <si>
    <t xml:space="preserve">Discount Rate Support</t>
  </si>
  <si>
    <t xml:space="preserve">Component</t>
  </si>
  <si>
    <t xml:space="preserve">Assessment</t>
  </si>
  <si>
    <t xml:space="preserve">Premium / Rate</t>
  </si>
  <si>
    <t xml:space="preserve">Support / Source</t>
  </si>
  <si>
    <t xml:space="preserve">Base Required Return</t>
  </si>
  <si>
    <t xml:space="preserve">Market input</t>
  </si>
  <si>
    <t xml:space="preserve">Base rate before property-specific risk premiums.</t>
  </si>
  <si>
    <t xml:space="preserve">Market Risk</t>
  </si>
  <si>
    <t xml:space="preserve">Select</t>
  </si>
  <si>
    <t xml:space="preserve">Absorption Risk</t>
  </si>
  <si>
    <t xml:space="preserve">Entitlement Risk</t>
  </si>
  <si>
    <t xml:space="preserve">Development / Infrastructure Risk</t>
  </si>
  <si>
    <t xml:space="preserve">Competition / Supply Risk</t>
  </si>
  <si>
    <t xml:space="preserve">Project Size / Liquidity Risk</t>
  </si>
  <si>
    <t xml:space="preserve">Financing Environment</t>
  </si>
  <si>
    <t xml:space="preserve">Other Risk Adjustment</t>
  </si>
  <si>
    <t xml:space="preserve">Selected Discount Rate</t>
  </si>
  <si>
    <t xml:space="preserve">Absorption Schedule</t>
  </si>
  <si>
    <t xml:space="preserve">Month</t>
  </si>
  <si>
    <t xml:space="preserve">Month End</t>
  </si>
  <si>
    <t xml:space="preserve">Beginning Inventory</t>
  </si>
  <si>
    <t xml:space="preserve">Lots Sold</t>
  </si>
  <si>
    <t xml:space="preserve">Ending Inventory</t>
  </si>
  <si>
    <t xml:space="preserve">Average Sale Price</t>
  </si>
  <si>
    <t xml:space="preserve">Gross Revenue</t>
  </si>
  <si>
    <t xml:space="preserve">Source / Notes</t>
  </si>
  <si>
    <t xml:space="preserve">Discounted Cash Flow Model</t>
  </si>
  <si>
    <t xml:space="preserve">Line Item</t>
  </si>
  <si>
    <t xml:space="preserve">Marketing &amp; Selling Costs</t>
  </si>
  <si>
    <t xml:space="preserve">Holding Costs</t>
  </si>
  <si>
    <t xml:space="preserve">Net Cash Flow</t>
  </si>
  <si>
    <t xml:space="preserve">Discount Factor</t>
  </si>
  <si>
    <t xml:space="preserve">Present Value</t>
  </si>
  <si>
    <t xml:space="preserve">Cumulative Present Value</t>
  </si>
  <si>
    <t xml:space="preserve">DCF Summary</t>
  </si>
  <si>
    <t xml:space="preserve">Total Gross Revenue</t>
  </si>
  <si>
    <t xml:space="preserve">Total Hard Costs</t>
  </si>
  <si>
    <t xml:space="preserve">Total Soft Costs</t>
  </si>
  <si>
    <t xml:space="preserve">Total Marketing Costs</t>
  </si>
  <si>
    <t xml:space="preserve">Total Holding Costs</t>
  </si>
  <si>
    <t xml:space="preserve">Total Developer Profit</t>
  </si>
  <si>
    <t xml:space="preserve">DCF Present Value / Bulk Sale Value</t>
  </si>
  <si>
    <t xml:space="preserve">DCF model note: This model discounts monthly net cash flows derived from projected lot revenue, remaining hard and soft costs, marketing/selling costs, holding costs, and developer profit/incentive. Inputs must be supported in the appraisal report and retained in the workfile.</t>
  </si>
  <si>
    <t xml:space="preserve">Bulk Sale Analysis</t>
  </si>
  <si>
    <t xml:space="preserve">Bulk Sale Component</t>
  </si>
  <si>
    <t xml:space="preserve">Aggregate Retail Value</t>
  </si>
  <si>
    <t xml:space="preserve">Sum of projected gross revenue before deductions.</t>
  </si>
  <si>
    <t xml:space="preserve">Less: Remaining Hard Costs</t>
  </si>
  <si>
    <t xml:space="preserve">From DCF Model.</t>
  </si>
  <si>
    <t xml:space="preserve">Less: Remaining Soft Costs</t>
  </si>
  <si>
    <t xml:space="preserve">Less: Marketing &amp; Selling Costs</t>
  </si>
  <si>
    <t xml:space="preserve">Less: Holding Costs</t>
  </si>
  <si>
    <t xml:space="preserve">Less: Developer Profit / Incentive</t>
  </si>
  <si>
    <t xml:space="preserve">Indicated Bulk Sale Value</t>
  </si>
  <si>
    <t xml:space="preserve">Present value of net cash flows.</t>
  </si>
  <si>
    <t xml:space="preserve">Implied Bulk Sale Discount</t>
  </si>
  <si>
    <t xml:space="preserve">1 - Bulk Sale Value / Aggregate Retail Value.</t>
  </si>
  <si>
    <t xml:space="preserve">Sellout Period</t>
  </si>
  <si>
    <t xml:space="preserve">Last month with positive lot sales.</t>
  </si>
  <si>
    <t xml:space="preserve">From Discount Rate Support.</t>
  </si>
  <si>
    <t xml:space="preserve">From Market Assumptions.</t>
  </si>
  <si>
    <t xml:space="preserve">Sensitivity Tables</t>
  </si>
  <si>
    <t xml:space="preserve">Discount Rate Sensitivity</t>
  </si>
  <si>
    <t xml:space="preserve">Discount Rate</t>
  </si>
  <si>
    <t xml:space="preserve">Indicated Value</t>
  </si>
  <si>
    <t xml:space="preserve">Sales Price Sensitivity</t>
  </si>
  <si>
    <t xml:space="preserve">Sales Price Change</t>
  </si>
  <si>
    <t xml:space="preserve">Absorption Sensitivity</t>
  </si>
  <si>
    <t xml:space="preserve">Absorption Scenario</t>
  </si>
  <si>
    <t xml:space="preserve">Instruction</t>
  </si>
  <si>
    <t xml:space="preserve">Faster Absorption</t>
  </si>
  <si>
    <t xml:space="preserve">Increase Monthly Absorption in Market Assumptions by 20% and review DCF output.</t>
  </si>
  <si>
    <t xml:space="preserve">Base Case</t>
  </si>
  <si>
    <t xml:space="preserve">Current workbook case.</t>
  </si>
  <si>
    <t xml:space="preserve">Slower Absorption</t>
  </si>
  <si>
    <t xml:space="preserve">Decrease Monthly Absorption in Market Assumptions by 20% and review DCF output.</t>
  </si>
  <si>
    <t xml:space="preserve">Required Note</t>
  </si>
  <si>
    <t xml:space="preserve">Document whether absorption sensitivity was performed directly in this workbook or in an approved alternative model.</t>
  </si>
  <si>
    <t xml:space="preserve">Appraiser Comment</t>
  </si>
  <si>
    <t xml:space="preserve">Report Exhibits</t>
  </si>
  <si>
    <t xml:space="preserve">Exhibit Item</t>
  </si>
  <si>
    <t xml:space="preserve">Conclusion</t>
  </si>
  <si>
    <t xml:space="preserve">Overall Sensitivity Reviewed</t>
  </si>
  <si>
    <t xml:space="preserve">Yes / No</t>
  </si>
  <si>
    <t xml:space="preserve">Reviewer Checks</t>
  </si>
  <si>
    <t xml:space="preserve">Check</t>
  </si>
  <si>
    <t xml:space="preserve">Status</t>
  </si>
  <si>
    <t xml:space="preserve">Formula / Basis</t>
  </si>
  <si>
    <t xml:space="preserve">Reviewer Notes</t>
  </si>
  <si>
    <t xml:space="preserve">Property lot count entered</t>
  </si>
  <si>
    <t xml:space="preserve">Property Info!B12 &gt; 0</t>
  </si>
  <si>
    <t xml:space="preserve">Beginning lot price entered</t>
  </si>
  <si>
    <t xml:space="preserve">Market Assumptions!B4 &gt; 0</t>
  </si>
  <si>
    <t xml:space="preserve">Monthly absorption entered</t>
  </si>
  <si>
    <t xml:space="preserve">Market Assumptions!B6 &gt; 0</t>
  </si>
  <si>
    <t xml:space="preserve">Discount rate selected</t>
  </si>
  <si>
    <t xml:space="preserve">Discount Rate Support!C13 &gt; 0</t>
  </si>
  <si>
    <t xml:space="preserve">Hard cost support entered</t>
  </si>
  <si>
    <t xml:space="preserve">Development Costs source column reviewed</t>
  </si>
  <si>
    <t xml:space="preserve">Soft cost support entered</t>
  </si>
  <si>
    <t xml:space="preserve">Holding costs reviewed</t>
  </si>
  <si>
    <t xml:space="preserve">Holding Costs reviewed</t>
  </si>
  <si>
    <t xml:space="preserve">Bulk Sale Value calculated</t>
  </si>
  <si>
    <t xml:space="preserve">Bulk Sale Analysis!B11</t>
  </si>
  <si>
    <t xml:space="preserve">Sensitivity tables reviewed</t>
  </si>
  <si>
    <t xml:space="preserve">Sensitivity Tables completed</t>
  </si>
  <si>
    <t xml:space="preserve">Workbook submitted with appraisal</t>
  </si>
  <si>
    <t xml:space="preserve">Required by Chapter 8</t>
  </si>
  <si>
    <t xml:space="preserve">Appraiser narrative supports assumptions</t>
  </si>
  <si>
    <t xml:space="preserve">Required in report</t>
  </si>
  <si>
    <t xml:space="preserve">No unexplained override formulas</t>
  </si>
  <si>
    <t xml:space="preserve">Workbook review</t>
  </si>
  <si>
    <t xml:space="preserve">Reviewer conclusion</t>
  </si>
  <si>
    <t xml:space="preserve">Pass / Revise / Reject</t>
  </si>
</sst>
</file>

<file path=xl/styles.xml><?xml version="1.0" encoding="utf-8"?>
<styleSheet xmlns="http://schemas.openxmlformats.org/spreadsheetml/2006/main">
  <numFmts count="13">
    <numFmt numFmtId="164" formatCode="General"/>
    <numFmt numFmtId="165" formatCode="mm/dd/yyyy"/>
    <numFmt numFmtId="166" formatCode="0.00"/>
    <numFmt numFmtId="167" formatCode="#,##0"/>
    <numFmt numFmtId="168" formatCode="\$#,##0;[RED]&quot;($&quot;#,##0\);\-"/>
    <numFmt numFmtId="169" formatCode="0.0%"/>
    <numFmt numFmtId="170" formatCode="0"/>
    <numFmt numFmtId="171" formatCode="General"/>
    <numFmt numFmtId="172" formatCode="mmm\-yy"/>
    <numFmt numFmtId="173" formatCode="#,##0.0"/>
    <numFmt numFmtId="174" formatCode="0.000\x"/>
    <numFmt numFmtId="175" formatCode="0.0"/>
    <numFmt numFmtId="176" formatCode="\+0.0%;\-0.0%;0.0%"/>
  </numFmts>
  <fonts count="14">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1F2937"/>
      <name val="Calibri"/>
      <family val="0"/>
      <charset val="1"/>
    </font>
    <font>
      <sz val="11"/>
      <color rgb="FF0000FF"/>
      <name val="Calibri"/>
      <family val="0"/>
      <charset val="1"/>
    </font>
    <font>
      <sz val="11"/>
      <color rgb="FF1F2937"/>
      <name val="Calibri"/>
      <family val="0"/>
      <charset val="1"/>
    </font>
    <font>
      <b val="true"/>
      <sz val="11"/>
      <color rgb="FFFFFFFF"/>
      <name val="Calibri"/>
      <family val="0"/>
      <charset val="1"/>
    </font>
    <font>
      <sz val="11"/>
      <color rgb="FF000000"/>
      <name val="Calibri"/>
      <family val="0"/>
      <charset val="1"/>
    </font>
    <font>
      <b val="true"/>
      <sz val="11"/>
      <name val="Calibri"/>
      <family val="0"/>
      <charset val="1"/>
    </font>
    <font>
      <b val="true"/>
      <sz val="18"/>
      <color rgb="FF000000"/>
      <name val="Calibri"/>
      <family val="2"/>
    </font>
    <font>
      <sz val="10"/>
      <color rgb="FF000000"/>
      <name val="Calibri"/>
      <family val="2"/>
    </font>
  </fonts>
  <fills count="7">
    <fill>
      <patternFill patternType="none"/>
    </fill>
    <fill>
      <patternFill patternType="gray125"/>
    </fill>
    <fill>
      <patternFill patternType="solid">
        <fgColor rgb="FF387C59"/>
        <bgColor rgb="FF156082"/>
      </patternFill>
    </fill>
    <fill>
      <patternFill patternType="solid">
        <fgColor rgb="FFFFF2CC"/>
        <bgColor rgb="FFF3F4F6"/>
      </patternFill>
    </fill>
    <fill>
      <patternFill patternType="solid">
        <fgColor rgb="FFEAF4EF"/>
        <bgColor rgb="FFF3F4F6"/>
      </patternFill>
    </fill>
    <fill>
      <patternFill patternType="solid">
        <fgColor rgb="FF1F2937"/>
        <bgColor rgb="FF333300"/>
      </patternFill>
    </fill>
    <fill>
      <patternFill patternType="solid">
        <fgColor rgb="FFF3F4F6"/>
        <bgColor rgb="FFEAF4E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left" vertical="center" textRotation="0" wrapText="true" indent="0" shrinkToFit="false"/>
      <protection locked="true" hidden="false"/>
    </xf>
    <xf numFmtId="164" fontId="4" fillId="0" borderId="0" xfId="20" applyFont="false" applyBorder="true" applyAlignment="true" applyProtection="false">
      <alignment horizontal="general" vertical="bottom" textRotation="0" wrapText="true" indent="0" shrinkToFit="false"/>
      <protection locked="true" hidden="false"/>
    </xf>
    <xf numFmtId="164" fontId="6" fillId="0" borderId="0" xfId="20" applyFont="true" applyBorder="true" applyAlignment="true" applyProtection="false">
      <alignment horizontal="general" vertical="bottom" textRotation="0" wrapText="true" indent="0" shrinkToFit="false"/>
      <protection locked="true" hidden="false"/>
    </xf>
    <xf numFmtId="164" fontId="7" fillId="3" borderId="0" xfId="20" applyFont="true" applyBorder="true" applyAlignment="true" applyProtection="false">
      <alignment horizontal="general" vertical="bottom" textRotation="0" wrapText="true" indent="0" shrinkToFit="false"/>
      <protection locked="true" hidden="false"/>
    </xf>
    <xf numFmtId="164" fontId="8" fillId="4" borderId="0" xfId="20" applyFont="true" applyBorder="true" applyAlignment="true" applyProtection="false">
      <alignment horizontal="general" vertical="top" textRotation="0" wrapText="tru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9" fillId="5" borderId="0" xfId="20" applyFont="true" applyBorder="true" applyAlignment="true" applyProtection="false">
      <alignment horizontal="left" vertical="bottom" textRotation="0" wrapText="true" indent="0" shrinkToFit="false"/>
      <protection locked="true" hidden="false"/>
    </xf>
    <xf numFmtId="164" fontId="9" fillId="2" borderId="0" xfId="20" applyFont="true" applyBorder="true" applyAlignment="true" applyProtection="false">
      <alignment horizontal="center" vertical="center" textRotation="0" wrapText="true" indent="0" shrinkToFit="false"/>
      <protection locked="true" hidden="false"/>
    </xf>
    <xf numFmtId="165" fontId="7" fillId="3" borderId="0" xfId="20" applyFont="true" applyBorder="true" applyAlignment="true" applyProtection="false">
      <alignment horizontal="general" vertical="bottom" textRotation="0" wrapText="true" indent="0" shrinkToFit="false"/>
      <protection locked="true" hidden="false"/>
    </xf>
    <xf numFmtId="166" fontId="7" fillId="3" borderId="0" xfId="20" applyFont="true" applyBorder="true" applyAlignment="true" applyProtection="false">
      <alignment horizontal="general" vertical="bottom" textRotation="0" wrapText="true" indent="0" shrinkToFit="false"/>
      <protection locked="true" hidden="false"/>
    </xf>
    <xf numFmtId="167" fontId="7" fillId="3" borderId="0" xfId="20" applyFont="true" applyBorder="true" applyAlignment="true" applyProtection="false">
      <alignment horizontal="general" vertical="bottom" textRotation="0" wrapText="true" indent="0" shrinkToFit="false"/>
      <protection locked="true" hidden="false"/>
    </xf>
    <xf numFmtId="168" fontId="7" fillId="3" borderId="0" xfId="20" applyFont="true" applyBorder="true" applyAlignment="true" applyProtection="false">
      <alignment horizontal="general" vertical="bottom" textRotation="0" wrapText="true" indent="0" shrinkToFit="false"/>
      <protection locked="true" hidden="false"/>
    </xf>
    <xf numFmtId="169" fontId="7" fillId="3" borderId="0" xfId="20" applyFont="true" applyBorder="true" applyAlignment="true" applyProtection="false">
      <alignment horizontal="general" vertical="bottom" textRotation="0" wrapText="true" indent="0" shrinkToFit="false"/>
      <protection locked="true" hidden="false"/>
    </xf>
    <xf numFmtId="170" fontId="7" fillId="3" borderId="0" xfId="20" applyFont="true" applyBorder="true" applyAlignment="true" applyProtection="false">
      <alignment horizontal="general" vertical="bottom" textRotation="0" wrapText="true" indent="0" shrinkToFit="false"/>
      <protection locked="true" hidden="false"/>
    </xf>
    <xf numFmtId="171" fontId="10" fillId="6" borderId="0" xfId="20" applyFont="true" applyBorder="true" applyAlignment="true" applyProtection="false">
      <alignment horizontal="general" vertical="bottom" textRotation="0" wrapText="true" indent="0" shrinkToFit="false"/>
      <protection locked="true" hidden="false"/>
    </xf>
    <xf numFmtId="169" fontId="10" fillId="6" borderId="0" xfId="20" applyFont="true" applyBorder="true" applyAlignment="true" applyProtection="false">
      <alignment horizontal="general" vertical="bottom" textRotation="0" wrapText="true" indent="0" shrinkToFit="false"/>
      <protection locked="true" hidden="false"/>
    </xf>
    <xf numFmtId="172" fontId="10" fillId="6" borderId="0" xfId="20" applyFont="true" applyBorder="true" applyAlignment="true" applyProtection="false">
      <alignment horizontal="general" vertical="bottom" textRotation="0" wrapText="true" indent="0" shrinkToFit="false"/>
      <protection locked="true" hidden="false"/>
    </xf>
    <xf numFmtId="173" fontId="10" fillId="6" borderId="0" xfId="20" applyFont="true" applyBorder="true" applyAlignment="true" applyProtection="false">
      <alignment horizontal="general" vertical="bottom" textRotation="0" wrapText="true" indent="0" shrinkToFit="false"/>
      <protection locked="true" hidden="false"/>
    </xf>
    <xf numFmtId="168" fontId="10" fillId="6" borderId="0" xfId="20" applyFont="true" applyBorder="true" applyAlignment="true" applyProtection="false">
      <alignment horizontal="general" vertical="bottom" textRotation="0" wrapText="true" indent="0" shrinkToFit="false"/>
      <protection locked="true" hidden="false"/>
    </xf>
    <xf numFmtId="164" fontId="11" fillId="0" borderId="0" xfId="20" applyFont="true" applyBorder="true" applyAlignment="true" applyProtection="false">
      <alignment horizontal="general" vertical="bottom" textRotation="0" wrapText="true" indent="0" shrinkToFit="false"/>
      <protection locked="true" hidden="false"/>
    </xf>
    <xf numFmtId="174" fontId="10" fillId="6" borderId="0" xfId="20" applyFont="true" applyBorder="true" applyAlignment="true" applyProtection="false">
      <alignment horizontal="general" vertical="bottom" textRotation="0" wrapText="true" indent="0" shrinkToFit="false"/>
      <protection locked="true" hidden="false"/>
    </xf>
    <xf numFmtId="164" fontId="8" fillId="4" borderId="0" xfId="20" applyFont="true" applyBorder="true" applyAlignment="true" applyProtection="false">
      <alignment horizontal="general" vertical="bottom" textRotation="0" wrapText="true" indent="0" shrinkToFit="false"/>
      <protection locked="true" hidden="false"/>
    </xf>
    <xf numFmtId="170" fontId="10" fillId="6" borderId="0" xfId="20" applyFont="true" applyBorder="true" applyAlignment="true" applyProtection="false">
      <alignment horizontal="general" vertical="bottom" textRotation="0" wrapText="true" indent="0" shrinkToFit="false"/>
      <protection locked="true" hidden="false"/>
    </xf>
    <xf numFmtId="175" fontId="10" fillId="6" borderId="0" xfId="20" applyFont="true" applyBorder="true" applyAlignment="true" applyProtection="false">
      <alignment horizontal="general" vertical="bottom" textRotation="0" wrapText="true" indent="0" shrinkToFit="false"/>
      <protection locked="true" hidden="false"/>
    </xf>
    <xf numFmtId="176" fontId="4" fillId="0" borderId="0" xfId="20" applyFont="false" applyBorder="true" applyAlignment="true" applyProtection="false">
      <alignment horizontal="general" vertical="bottom" textRotation="0" wrapText="true" indent="0" shrinkToFit="false"/>
      <protection locked="true" hidden="false"/>
    </xf>
    <xf numFmtId="165" fontId="10" fillId="6"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FF2CC"/>
      <rgbColor rgb="FFEAF4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87C5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ea typeface="Calibri"/>
              </a:defRPr>
            </a:pPr>
            <a:r>
              <a:rPr b="1" sz="1800" spc="-1" strike="noStrike">
                <a:solidFill>
                  <a:srgbClr val="000000"/>
                </a:solidFill>
                <a:latin typeface="Calibri"/>
                <a:ea typeface="Calibri"/>
              </a:rPr>
              <a:t>Discount Rate Sensitivity</a:t>
            </a:r>
          </a:p>
        </c:rich>
      </c:tx>
      <c:overlay val="0"/>
      <c:spPr>
        <a:noFill/>
        <a:ln w="0">
          <a:noFill/>
        </a:ln>
      </c:spPr>
    </c:title>
    <c:autoTitleDeleted val="0"/>
    <c:plotArea>
      <c:barChart>
        <c:barDir val="col"/>
        <c:grouping val="clustered"/>
        <c:varyColors val="0"/>
        <c:ser>
          <c:idx val="0"/>
          <c:order val="0"/>
          <c:tx>
            <c:strRef>
              <c:f>"Indicated Value"</c:f>
              <c:strCache>
                <c:ptCount val="1"/>
                <c:pt idx="0">
                  <c:v>Indicated Value</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'Sensitivity Tables'!$A$5:$A$9</c:f>
              <c:strCache>
                <c:ptCount val="5"/>
                <c:pt idx="0">
                  <c:v>-2.0%</c:v>
                </c:pt>
                <c:pt idx="1">
                  <c:v>-1.0%</c:v>
                </c:pt>
                <c:pt idx="2">
                  <c:v>0.0%</c:v>
                </c:pt>
                <c:pt idx="3">
                  <c:v>+1.0%</c:v>
                </c:pt>
                <c:pt idx="4">
                  <c:v>+2.0%</c:v>
                </c:pt>
              </c:strCache>
            </c:strRef>
          </c:cat>
          <c:val>
            <c:numRef>
              <c:f>'Sensitivity Tables'!$B$5:$B$9</c:f>
              <c:numCache>
                <c:formatCode>\$#,##0;[RED]"($"#,##0\);\-</c:formatCode>
                <c:ptCount val="5"/>
                <c:pt idx="0">
                  <c:v>0</c:v>
                </c:pt>
                <c:pt idx="1">
                  <c:v>0</c:v>
                </c:pt>
                <c:pt idx="2">
                  <c:v>0</c:v>
                </c:pt>
                <c:pt idx="3">
                  <c:v>0</c:v>
                </c:pt>
                <c:pt idx="4">
                  <c:v>0</c:v>
                </c:pt>
              </c:numCache>
            </c:numRef>
          </c:val>
        </c:ser>
        <c:gapWidth val="150"/>
        <c:overlap val="0"/>
        <c:axId val="23838812"/>
        <c:axId val="78894407"/>
      </c:barChart>
      <c:catAx>
        <c:axId val="2383881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8894407"/>
        <c:crosses val="autoZero"/>
        <c:auto val="1"/>
        <c:lblAlgn val="ctr"/>
        <c:lblOffset val="100"/>
        <c:noMultiLvlLbl val="0"/>
      </c:catAx>
      <c:valAx>
        <c:axId val="7889440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2383881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2</xdr:row>
      <xdr:rowOff>0</xdr:rowOff>
    </xdr:from>
    <xdr:to>
      <xdr:col>7</xdr:col>
      <xdr:colOff>1550520</xdr:colOff>
      <xdr:row>17</xdr:row>
      <xdr:rowOff>190080</xdr:rowOff>
    </xdr:to>
    <xdr:graphicFrame>
      <xdr:nvGraphicFramePr>
        <xdr:cNvPr id="0" name="Chart 1"/>
        <xdr:cNvGraphicFramePr/>
      </xdr:nvGraphicFramePr>
      <xdr:xfrm>
        <a:off x="5920920" y="571680"/>
        <a:ext cx="7752960" cy="304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0</v>
      </c>
      <c r="B1" s="1"/>
      <c r="C1" s="1"/>
      <c r="D1" s="1"/>
      <c r="E1" s="1"/>
      <c r="F1" s="1"/>
      <c r="G1" s="1"/>
      <c r="H1" s="1"/>
      <c r="I1" s="1"/>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3" t="s">
        <v>1</v>
      </c>
      <c r="B3" s="2" t="s">
        <v>2</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3" t="s">
        <v>3</v>
      </c>
      <c r="B4" s="2" t="s">
        <v>4</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41.75" hidden="false" customHeight="false" outlineLevel="0" collapsed="false">
      <c r="A5" s="3" t="s">
        <v>5</v>
      </c>
      <c r="B5" s="2" t="s">
        <v>6</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28.35" hidden="false" customHeight="false" outlineLevel="0" collapsed="false">
      <c r="A6" s="3" t="s">
        <v>7</v>
      </c>
      <c r="B6" s="2"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55.2" hidden="false" customHeight="false" outlineLevel="0" collapsed="false">
      <c r="A7" s="3" t="s">
        <v>9</v>
      </c>
      <c r="B7" s="2" t="s">
        <v>10</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3" t="s">
        <v>11</v>
      </c>
      <c r="B8" s="4"/>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3" t="s">
        <v>12</v>
      </c>
      <c r="B9" s="4"/>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3" t="s">
        <v>13</v>
      </c>
      <c r="B10" s="4"/>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3" t="s">
        <v>14</v>
      </c>
      <c r="B11" s="4"/>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3" t="s">
        <v>15</v>
      </c>
      <c r="B12" s="4"/>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3" t="s">
        <v>16</v>
      </c>
      <c r="B13" s="4"/>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3" t="s">
        <v>17</v>
      </c>
      <c r="B14" s="4"/>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true" outlineLevel="0" collapsed="false">
      <c r="A16" s="5" t="s">
        <v>18</v>
      </c>
      <c r="B16" s="5"/>
      <c r="C16" s="5"/>
      <c r="D16" s="5"/>
      <c r="E16" s="5"/>
      <c r="F16" s="5"/>
      <c r="G16" s="5"/>
      <c r="H16" s="5"/>
      <c r="I16" s="5"/>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5"/>
      <c r="B17" s="5"/>
      <c r="C17" s="5"/>
      <c r="D17" s="5"/>
      <c r="E17" s="5"/>
      <c r="F17" s="5"/>
      <c r="G17" s="5"/>
      <c r="H17" s="5"/>
      <c r="I17" s="5"/>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5"/>
      <c r="B18" s="5"/>
      <c r="C18" s="5"/>
      <c r="D18" s="5"/>
      <c r="E18" s="5"/>
      <c r="F18" s="5"/>
      <c r="G18" s="5"/>
      <c r="H18" s="5"/>
      <c r="I18" s="5"/>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5"/>
      <c r="B19" s="5"/>
      <c r="C19" s="5"/>
      <c r="D19" s="5"/>
      <c r="E19" s="5"/>
      <c r="F19" s="5"/>
      <c r="G19" s="5"/>
      <c r="H19" s="5"/>
      <c r="I19" s="5"/>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5"/>
      <c r="B20" s="5"/>
      <c r="C20" s="5"/>
      <c r="D20" s="5"/>
      <c r="E20" s="5"/>
      <c r="F20" s="5"/>
      <c r="G20" s="5"/>
      <c r="H20" s="5"/>
      <c r="I20" s="5"/>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2">
    <mergeCell ref="A1:I1"/>
    <mergeCell ref="A16:I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5"/>
    <col collapsed="false" customWidth="true" hidden="false" outlineLevel="0" max="3" min="3" style="0" width="22"/>
    <col collapsed="false" customWidth="true" hidden="false" outlineLevel="0" max="4" min="4" style="0" width="40"/>
    <col collapsed="false" customWidth="true" hidden="false" outlineLevel="0" max="8" min="5" style="0" width="22"/>
  </cols>
  <sheetData>
    <row r="1" customFormat="false" ht="30" hidden="false" customHeight="true" outlineLevel="0" collapsed="false">
      <c r="A1" s="1" t="s">
        <v>19</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true" outlineLevel="0" collapsed="false">
      <c r="A3" s="6" t="s">
        <v>20</v>
      </c>
      <c r="B3" s="6"/>
      <c r="C3" s="6"/>
      <c r="D3" s="6"/>
      <c r="E3" s="6"/>
      <c r="F3" s="6"/>
      <c r="G3" s="6"/>
      <c r="H3" s="6"/>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21.75" hidden="false" customHeight="true" outlineLevel="0" collapsed="false">
      <c r="A5" s="7" t="s">
        <v>21</v>
      </c>
      <c r="B5" s="7"/>
      <c r="C5" s="7"/>
      <c r="D5" s="7"/>
      <c r="E5" s="7"/>
      <c r="F5" s="7"/>
      <c r="G5" s="7"/>
      <c r="H5" s="7"/>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8" t="s">
        <v>22</v>
      </c>
      <c r="B6" s="8" t="s">
        <v>23</v>
      </c>
      <c r="C6" s="8" t="s">
        <v>24</v>
      </c>
      <c r="D6" s="8" t="s">
        <v>25</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28.35" hidden="false" customHeight="false" outlineLevel="0" collapsed="false">
      <c r="A7" s="2" t="s">
        <v>26</v>
      </c>
      <c r="B7" s="2" t="s">
        <v>27</v>
      </c>
      <c r="C7" s="2" t="s">
        <v>28</v>
      </c>
      <c r="D7" s="2" t="s">
        <v>29</v>
      </c>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28.35" hidden="false" customHeight="false" outlineLevel="0" collapsed="false">
      <c r="A8" s="2" t="s">
        <v>30</v>
      </c>
      <c r="B8" s="2" t="s">
        <v>31</v>
      </c>
      <c r="C8" s="2" t="s">
        <v>32</v>
      </c>
      <c r="D8" s="2" t="s">
        <v>33</v>
      </c>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s">
        <v>34</v>
      </c>
      <c r="B9" s="2" t="s">
        <v>35</v>
      </c>
      <c r="C9" s="2" t="s">
        <v>36</v>
      </c>
      <c r="D9" s="2" t="s">
        <v>37</v>
      </c>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38</v>
      </c>
      <c r="B10" s="2" t="s">
        <v>39</v>
      </c>
      <c r="C10" s="2" t="s">
        <v>40</v>
      </c>
      <c r="D10" s="2" t="s">
        <v>41</v>
      </c>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21.75" hidden="false" customHeight="true" outlineLevel="0" collapsed="false">
      <c r="A12" s="7" t="s">
        <v>42</v>
      </c>
      <c r="B12" s="7"/>
      <c r="C12" s="7"/>
      <c r="D12" s="7"/>
      <c r="E12" s="7"/>
      <c r="F12" s="7"/>
      <c r="G12" s="7"/>
      <c r="H12" s="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43</v>
      </c>
      <c r="B13" s="2" t="s">
        <v>44</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28.35" hidden="false" customHeight="false" outlineLevel="0" collapsed="false">
      <c r="A14" s="2" t="s">
        <v>45</v>
      </c>
      <c r="B14" s="2" t="s">
        <v>46</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28.35" hidden="false" customHeight="false" outlineLevel="0" collapsed="false">
      <c r="A15" s="2" t="s">
        <v>47</v>
      </c>
      <c r="B15" s="2" t="s">
        <v>48</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t="s">
        <v>49</v>
      </c>
      <c r="B16" s="2" t="s">
        <v>50</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28.35" hidden="false" customHeight="false" outlineLevel="0" collapsed="false">
      <c r="A17" s="2" t="s">
        <v>51</v>
      </c>
      <c r="B17" s="2" t="s">
        <v>52</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28.35" hidden="false" customHeight="false" outlineLevel="0" collapsed="false">
      <c r="A18" s="2" t="s">
        <v>53</v>
      </c>
      <c r="B18" s="2" t="s">
        <v>54</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28.35" hidden="false" customHeight="false" outlineLevel="0" collapsed="false">
      <c r="A19" s="2" t="s">
        <v>55</v>
      </c>
      <c r="B19" s="2" t="s">
        <v>56</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28.35" hidden="false" customHeight="false" outlineLevel="0" collapsed="false">
      <c r="A20" s="2" t="s">
        <v>57</v>
      </c>
      <c r="B20" s="2" t="s">
        <v>58</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4">
    <mergeCell ref="A1:H1"/>
    <mergeCell ref="A3:H3"/>
    <mergeCell ref="A5:H5"/>
    <mergeCell ref="A12:H1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59</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60</v>
      </c>
      <c r="B3" s="8" t="s">
        <v>61</v>
      </c>
      <c r="C3" s="8" t="s">
        <v>62</v>
      </c>
      <c r="D3" s="8" t="s">
        <v>25</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t="s">
        <v>11</v>
      </c>
      <c r="B4" s="4"/>
      <c r="C4" s="4"/>
      <c r="D4" s="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s">
        <v>12</v>
      </c>
      <c r="B5" s="4"/>
      <c r="C5" s="4"/>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63</v>
      </c>
      <c r="B6" s="4"/>
      <c r="C6" s="4"/>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28.35" hidden="false" customHeight="false" outlineLevel="0" collapsed="false">
      <c r="A7" s="2" t="s">
        <v>14</v>
      </c>
      <c r="B7" s="9" t="n">
        <v>46210</v>
      </c>
      <c r="C7" s="4" t="s">
        <v>64</v>
      </c>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s">
        <v>13</v>
      </c>
      <c r="B8" s="4"/>
      <c r="C8" s="4"/>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s">
        <v>65</v>
      </c>
      <c r="B9" s="4"/>
      <c r="C9" s="4"/>
      <c r="D9" s="4" t="s">
        <v>66</v>
      </c>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67</v>
      </c>
      <c r="B10" s="10"/>
      <c r="C10" s="4"/>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68</v>
      </c>
      <c r="B11" s="10" t="n">
        <v>0</v>
      </c>
      <c r="C11" s="4"/>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2" t="s">
        <v>69</v>
      </c>
      <c r="B12" s="11" t="n">
        <v>0</v>
      </c>
      <c r="C12" s="4"/>
      <c r="D12" s="4"/>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28.35" hidden="false" customHeight="false" outlineLevel="0" collapsed="false">
      <c r="A13" s="2" t="s">
        <v>70</v>
      </c>
      <c r="B13" s="4" t="n">
        <v>0</v>
      </c>
      <c r="C13" s="4"/>
      <c r="D13" s="4" t="s">
        <v>71</v>
      </c>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41.75" hidden="false" customHeight="false" outlineLevel="0" collapsed="false">
      <c r="A14" s="2" t="s">
        <v>72</v>
      </c>
      <c r="B14" s="4"/>
      <c r="C14" s="4"/>
      <c r="D14" s="4" t="s">
        <v>73</v>
      </c>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t="s">
        <v>74</v>
      </c>
      <c r="B15" s="4"/>
      <c r="C15" s="4"/>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t="s">
        <v>75</v>
      </c>
      <c r="B16" s="4"/>
      <c r="C16" s="4"/>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28.35" hidden="false" customHeight="false" outlineLevel="0" collapsed="false">
      <c r="A17" s="2" t="s">
        <v>76</v>
      </c>
      <c r="B17" s="4"/>
      <c r="C17" s="4"/>
      <c r="D17" s="4"/>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28.35" hidden="false" customHeight="false" outlineLevel="0" collapsed="false">
      <c r="A18" s="2" t="s">
        <v>77</v>
      </c>
      <c r="B18" s="4"/>
      <c r="C18" s="4"/>
      <c r="D18" s="4"/>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78</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79</v>
      </c>
      <c r="B3" s="8" t="s">
        <v>60</v>
      </c>
      <c r="C3" s="8" t="s">
        <v>80</v>
      </c>
      <c r="D3" s="8" t="s">
        <v>62</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28.35" hidden="false" customHeight="false" outlineLevel="0" collapsed="false">
      <c r="A4" s="2" t="s">
        <v>81</v>
      </c>
      <c r="B4" s="12" t="n">
        <v>0</v>
      </c>
      <c r="C4" s="4" t="s">
        <v>82</v>
      </c>
      <c r="D4" s="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28.35" hidden="false" customHeight="false" outlineLevel="0" collapsed="false">
      <c r="A5" s="2" t="s">
        <v>83</v>
      </c>
      <c r="B5" s="13" t="n">
        <v>0</v>
      </c>
      <c r="C5" s="4" t="s">
        <v>84</v>
      </c>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85</v>
      </c>
      <c r="B6" s="13" t="n">
        <v>0</v>
      </c>
      <c r="C6" s="4" t="s">
        <v>86</v>
      </c>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s">
        <v>87</v>
      </c>
      <c r="B7" s="13" t="n">
        <v>0</v>
      </c>
      <c r="C7" s="4" t="s">
        <v>88</v>
      </c>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28.35" hidden="false" customHeight="false" outlineLevel="0" collapsed="false">
      <c r="A8" s="2" t="s">
        <v>89</v>
      </c>
      <c r="B8" s="13" t="n">
        <v>0</v>
      </c>
      <c r="C8" s="4" t="s">
        <v>88</v>
      </c>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28.35" hidden="false" customHeight="false" outlineLevel="0" collapsed="false">
      <c r="A9" s="2" t="s">
        <v>90</v>
      </c>
      <c r="B9" s="14" t="n">
        <v>0</v>
      </c>
      <c r="C9" s="4" t="s">
        <v>91</v>
      </c>
      <c r="D9" s="4"/>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28.35" hidden="false" customHeight="false" outlineLevel="0" collapsed="false">
      <c r="A10" s="2" t="s">
        <v>92</v>
      </c>
      <c r="B10" s="14" t="n">
        <v>12</v>
      </c>
      <c r="C10" s="4" t="s">
        <v>93</v>
      </c>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94</v>
      </c>
      <c r="B11" s="14" t="n">
        <v>12</v>
      </c>
      <c r="C11" s="4" t="s">
        <v>93</v>
      </c>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41.75" hidden="false" customHeight="false" outlineLevel="0" collapsed="false">
      <c r="A12" s="2" t="s">
        <v>95</v>
      </c>
      <c r="B12" s="4" t="n">
        <v>60</v>
      </c>
      <c r="C12" s="4" t="s">
        <v>93</v>
      </c>
      <c r="D12" s="4" t="s">
        <v>96</v>
      </c>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97</v>
      </c>
      <c r="B13" s="4" t="s">
        <v>98</v>
      </c>
      <c r="C13" s="4" t="s">
        <v>98</v>
      </c>
      <c r="D13" s="4"/>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 t="s">
        <v>99</v>
      </c>
      <c r="B14" s="4"/>
      <c r="C14" s="4" t="s">
        <v>100</v>
      </c>
      <c r="D14" s="4"/>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t="s">
        <v>101</v>
      </c>
      <c r="B15" s="4"/>
      <c r="C15" s="4" t="s">
        <v>100</v>
      </c>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102</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21.75" hidden="false" customHeight="true" outlineLevel="0" collapsed="false">
      <c r="A3" s="7" t="s">
        <v>103</v>
      </c>
      <c r="B3" s="7"/>
      <c r="C3" s="7"/>
      <c r="D3" s="7"/>
      <c r="E3" s="7"/>
      <c r="F3" s="7"/>
      <c r="G3" s="7"/>
      <c r="H3" s="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8" t="s">
        <v>104</v>
      </c>
      <c r="B4" s="8" t="s">
        <v>105</v>
      </c>
      <c r="C4" s="8" t="s">
        <v>106</v>
      </c>
      <c r="D4" s="8" t="s">
        <v>62</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s">
        <v>107</v>
      </c>
      <c r="B5" s="4" t="n">
        <v>0</v>
      </c>
      <c r="C5" s="4"/>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108</v>
      </c>
      <c r="B6" s="4" t="n">
        <v>0</v>
      </c>
      <c r="C6" s="4"/>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s">
        <v>109</v>
      </c>
      <c r="B7" s="4" t="n">
        <v>0</v>
      </c>
      <c r="C7" s="4"/>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s">
        <v>110</v>
      </c>
      <c r="B8" s="4" t="n">
        <v>0</v>
      </c>
      <c r="C8" s="4"/>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s">
        <v>111</v>
      </c>
      <c r="B9" s="4" t="n">
        <v>0</v>
      </c>
      <c r="C9" s="4"/>
      <c r="D9" s="4"/>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112</v>
      </c>
      <c r="B10" s="4" t="n">
        <v>0</v>
      </c>
      <c r="C10" s="4"/>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113</v>
      </c>
      <c r="B11" s="4" t="n">
        <v>0</v>
      </c>
      <c r="C11" s="4"/>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2" t="s">
        <v>114</v>
      </c>
      <c r="B12" s="4" t="n">
        <v>0</v>
      </c>
      <c r="C12" s="4"/>
      <c r="D12" s="4"/>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28.35" hidden="false" customHeight="false" outlineLevel="0" collapsed="false">
      <c r="A14" s="2" t="s">
        <v>115</v>
      </c>
      <c r="B14" s="15" t="n">
        <f aca="false">SUM(B5:B12)</f>
        <v>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21.75" hidden="false" customHeight="true" outlineLevel="0" collapsed="false">
      <c r="A17" s="7" t="s">
        <v>116</v>
      </c>
      <c r="B17" s="7"/>
      <c r="C17" s="7"/>
      <c r="D17" s="7"/>
      <c r="E17" s="7"/>
      <c r="F17" s="7"/>
      <c r="G17" s="7"/>
      <c r="H17" s="7"/>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8" t="s">
        <v>104</v>
      </c>
      <c r="B18" s="8" t="s">
        <v>105</v>
      </c>
      <c r="C18" s="8" t="s">
        <v>106</v>
      </c>
      <c r="D18" s="8" t="s">
        <v>62</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t="s">
        <v>117</v>
      </c>
      <c r="B19" s="4" t="n">
        <v>0</v>
      </c>
      <c r="C19" s="4"/>
      <c r="D19" s="4"/>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t="s">
        <v>118</v>
      </c>
      <c r="B20" s="4" t="n">
        <v>0</v>
      </c>
      <c r="C20" s="4"/>
      <c r="D20" s="4"/>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t="s">
        <v>119</v>
      </c>
      <c r="B21" s="4" t="n">
        <v>0</v>
      </c>
      <c r="C21" s="4"/>
      <c r="D21" s="4"/>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t="s">
        <v>120</v>
      </c>
      <c r="B22" s="4" t="n">
        <v>0</v>
      </c>
      <c r="C22" s="4"/>
      <c r="D22" s="4"/>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t="s">
        <v>121</v>
      </c>
      <c r="B23" s="4" t="n">
        <v>0</v>
      </c>
      <c r="C23" s="4"/>
      <c r="D23" s="4"/>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t="s">
        <v>122</v>
      </c>
      <c r="B24" s="4" t="n">
        <v>0</v>
      </c>
      <c r="C24" s="4"/>
      <c r="D24" s="4"/>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t="s">
        <v>123</v>
      </c>
      <c r="B25" s="4" t="n">
        <v>0</v>
      </c>
      <c r="C25" s="4"/>
      <c r="D25" s="4"/>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28.35" hidden="false" customHeight="false" outlineLevel="0" collapsed="false">
      <c r="A26" s="2" t="s">
        <v>124</v>
      </c>
      <c r="B26" s="15" t="n">
        <f aca="false">SUM(B19:B25)</f>
        <v>0</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3">
    <mergeCell ref="A1:H1"/>
    <mergeCell ref="A3:H3"/>
    <mergeCell ref="A17:H1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125</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104</v>
      </c>
      <c r="B3" s="8" t="s">
        <v>126</v>
      </c>
      <c r="C3" s="8" t="s">
        <v>25</v>
      </c>
      <c r="D3" s="8" t="s">
        <v>62</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t="s">
        <v>127</v>
      </c>
      <c r="B4" s="4" t="n">
        <v>0</v>
      </c>
      <c r="C4" s="4"/>
      <c r="D4" s="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s">
        <v>128</v>
      </c>
      <c r="B5" s="4" t="n">
        <v>0</v>
      </c>
      <c r="C5" s="4"/>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129</v>
      </c>
      <c r="B6" s="4" t="n">
        <v>0</v>
      </c>
      <c r="C6" s="4"/>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s">
        <v>109</v>
      </c>
      <c r="B7" s="4" t="n">
        <v>0</v>
      </c>
      <c r="C7" s="4"/>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s">
        <v>130</v>
      </c>
      <c r="B8" s="4" t="n">
        <v>0</v>
      </c>
      <c r="C8" s="4"/>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s">
        <v>131</v>
      </c>
      <c r="B9" s="4" t="n">
        <v>0</v>
      </c>
      <c r="C9" s="4"/>
      <c r="D9" s="4"/>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132</v>
      </c>
      <c r="B10" s="4" t="n">
        <v>0</v>
      </c>
      <c r="C10" s="4"/>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28.35" hidden="false" customHeight="false" outlineLevel="0" collapsed="false">
      <c r="A12" s="2" t="s">
        <v>133</v>
      </c>
      <c r="B12" s="15" t="n">
        <f aca="false">SUM(B4:B10)</f>
        <v>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134</v>
      </c>
      <c r="B13" s="15" t="n">
        <f aca="false">B12*12</f>
        <v>0</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28.35" hidden="false" customHeight="false" outlineLevel="0" collapsed="false">
      <c r="A14" s="2" t="s">
        <v>135</v>
      </c>
      <c r="B14" s="15" t="n">
        <f aca="false">IF('Property Info'!B12&gt;0,B12/'Property Info'!B12,0)</f>
        <v>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136</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137</v>
      </c>
      <c r="B3" s="8" t="s">
        <v>138</v>
      </c>
      <c r="C3" s="8" t="s">
        <v>139</v>
      </c>
      <c r="D3" s="8" t="s">
        <v>140</v>
      </c>
      <c r="E3" s="8" t="s">
        <v>25</v>
      </c>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41.75" hidden="false" customHeight="false" outlineLevel="0" collapsed="false">
      <c r="A4" s="2" t="s">
        <v>141</v>
      </c>
      <c r="B4" s="4" t="s">
        <v>142</v>
      </c>
      <c r="C4" s="13" t="n">
        <v>0</v>
      </c>
      <c r="D4" s="4"/>
      <c r="E4" s="2" t="s">
        <v>143</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s">
        <v>144</v>
      </c>
      <c r="B5" s="4" t="s">
        <v>145</v>
      </c>
      <c r="C5" s="13" t="n">
        <v>0</v>
      </c>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146</v>
      </c>
      <c r="B6" s="4" t="s">
        <v>145</v>
      </c>
      <c r="C6" s="13" t="n">
        <v>0</v>
      </c>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s">
        <v>147</v>
      </c>
      <c r="B7" s="4" t="s">
        <v>145</v>
      </c>
      <c r="C7" s="13" t="n">
        <v>0</v>
      </c>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28.35" hidden="false" customHeight="false" outlineLevel="0" collapsed="false">
      <c r="A8" s="2" t="s">
        <v>148</v>
      </c>
      <c r="B8" s="4" t="s">
        <v>145</v>
      </c>
      <c r="C8" s="13" t="n">
        <v>0</v>
      </c>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28.35" hidden="false" customHeight="false" outlineLevel="0" collapsed="false">
      <c r="A9" s="2" t="s">
        <v>149</v>
      </c>
      <c r="B9" s="4" t="s">
        <v>145</v>
      </c>
      <c r="C9" s="13" t="n">
        <v>0</v>
      </c>
      <c r="D9" s="4"/>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28.35" hidden="false" customHeight="false" outlineLevel="0" collapsed="false">
      <c r="A10" s="2" t="s">
        <v>150</v>
      </c>
      <c r="B10" s="4" t="s">
        <v>145</v>
      </c>
      <c r="C10" s="13" t="n">
        <v>0</v>
      </c>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151</v>
      </c>
      <c r="B11" s="4" t="s">
        <v>145</v>
      </c>
      <c r="C11" s="13" t="n">
        <v>0</v>
      </c>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2" t="s">
        <v>152</v>
      </c>
      <c r="B12" s="4" t="s">
        <v>60</v>
      </c>
      <c r="C12" s="13" t="n">
        <v>0</v>
      </c>
      <c r="D12" s="4"/>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153</v>
      </c>
      <c r="B13" s="2"/>
      <c r="C13" s="16" t="n">
        <f aca="false">SUM(C4:C12)</f>
        <v>0</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dataValidations count="1">
    <dataValidation allowBlank="false" errorStyle="stop" operator="between" showDropDown="false" showErrorMessage="false" showInputMessage="false" sqref="B5:B11" type="list">
      <formula1>"Low,Moderate,High,N/A"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30" hidden="false" customHeight="true" outlineLevel="0" collapsed="false">
      <c r="A1" s="1" t="s">
        <v>154</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28.35" hidden="false" customHeight="false" outlineLevel="0" collapsed="false">
      <c r="A3" s="8" t="s">
        <v>155</v>
      </c>
      <c r="B3" s="8" t="s">
        <v>156</v>
      </c>
      <c r="C3" s="8" t="s">
        <v>157</v>
      </c>
      <c r="D3" s="8" t="s">
        <v>158</v>
      </c>
      <c r="E3" s="8" t="s">
        <v>159</v>
      </c>
      <c r="F3" s="8" t="s">
        <v>160</v>
      </c>
      <c r="G3" s="8" t="s">
        <v>161</v>
      </c>
      <c r="H3" s="8" t="s">
        <v>162</v>
      </c>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t="n">
        <v>1</v>
      </c>
      <c r="B4" s="17" t="n">
        <f aca="false">EOMONTH('Property Info'!$B$7,A4-1)</f>
        <v>46234</v>
      </c>
      <c r="C4" s="18" t="n">
        <f aca="false">'Property Info'!$B$12</f>
        <v>0</v>
      </c>
      <c r="D4" s="18" t="n">
        <f aca="false">MIN('Market Assumptions'!$B$6,C4)</f>
        <v>0</v>
      </c>
      <c r="E4" s="18" t="n">
        <f aca="false">MAX(C4-D4,0)</f>
        <v>0</v>
      </c>
      <c r="F4" s="19" t="n">
        <f aca="false">'Market Assumptions'!$B$4*(1+'Market Assumptions'!$B$5/12)^(A4-1)</f>
        <v>0</v>
      </c>
      <c r="G4" s="19" t="n">
        <f aca="false">D4*F4</f>
        <v>0</v>
      </c>
      <c r="H4" s="4"/>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n">
        <v>2</v>
      </c>
      <c r="B5" s="17" t="n">
        <f aca="false">EOMONTH('Property Info'!$B$7,A5-1)</f>
        <v>46265</v>
      </c>
      <c r="C5" s="18" t="n">
        <f aca="false">E4</f>
        <v>0</v>
      </c>
      <c r="D5" s="18" t="n">
        <f aca="false">MIN('Market Assumptions'!$B$6,C5)</f>
        <v>0</v>
      </c>
      <c r="E5" s="18" t="n">
        <f aca="false">MAX(C5-D5,0)</f>
        <v>0</v>
      </c>
      <c r="F5" s="19" t="n">
        <f aca="false">'Market Assumptions'!$B$4*(1+'Market Assumptions'!$B$5/12)^(A5-1)</f>
        <v>0</v>
      </c>
      <c r="G5" s="19" t="n">
        <f aca="false">D5*F5</f>
        <v>0</v>
      </c>
      <c r="H5" s="4"/>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n">
        <v>3</v>
      </c>
      <c r="B6" s="17" t="n">
        <f aca="false">EOMONTH('Property Info'!$B$7,A6-1)</f>
        <v>46295</v>
      </c>
      <c r="C6" s="18" t="n">
        <f aca="false">E5</f>
        <v>0</v>
      </c>
      <c r="D6" s="18" t="n">
        <f aca="false">MIN('Market Assumptions'!$B$6,C6)</f>
        <v>0</v>
      </c>
      <c r="E6" s="18" t="n">
        <f aca="false">MAX(C6-D6,0)</f>
        <v>0</v>
      </c>
      <c r="F6" s="19" t="n">
        <f aca="false">'Market Assumptions'!$B$4*(1+'Market Assumptions'!$B$5/12)^(A6-1)</f>
        <v>0</v>
      </c>
      <c r="G6" s="19" t="n">
        <f aca="false">D6*F6</f>
        <v>0</v>
      </c>
      <c r="H6" s="4"/>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n">
        <v>4</v>
      </c>
      <c r="B7" s="17" t="n">
        <f aca="false">EOMONTH('Property Info'!$B$7,A7-1)</f>
        <v>46326</v>
      </c>
      <c r="C7" s="18" t="n">
        <f aca="false">E6</f>
        <v>0</v>
      </c>
      <c r="D7" s="18" t="n">
        <f aca="false">MIN('Market Assumptions'!$B$6,C7)</f>
        <v>0</v>
      </c>
      <c r="E7" s="18" t="n">
        <f aca="false">MAX(C7-D7,0)</f>
        <v>0</v>
      </c>
      <c r="F7" s="19" t="n">
        <f aca="false">'Market Assumptions'!$B$4*(1+'Market Assumptions'!$B$5/12)^(A7-1)</f>
        <v>0</v>
      </c>
      <c r="G7" s="19" t="n">
        <f aca="false">D7*F7</f>
        <v>0</v>
      </c>
      <c r="H7" s="4"/>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n">
        <v>5</v>
      </c>
      <c r="B8" s="17" t="n">
        <f aca="false">EOMONTH('Property Info'!$B$7,A8-1)</f>
        <v>46356</v>
      </c>
      <c r="C8" s="18" t="n">
        <f aca="false">E7</f>
        <v>0</v>
      </c>
      <c r="D8" s="18" t="n">
        <f aca="false">MIN('Market Assumptions'!$B$6,C8)</f>
        <v>0</v>
      </c>
      <c r="E8" s="18" t="n">
        <f aca="false">MAX(C8-D8,0)</f>
        <v>0</v>
      </c>
      <c r="F8" s="19" t="n">
        <f aca="false">'Market Assumptions'!$B$4*(1+'Market Assumptions'!$B$5/12)^(A8-1)</f>
        <v>0</v>
      </c>
      <c r="G8" s="19" t="n">
        <f aca="false">D8*F8</f>
        <v>0</v>
      </c>
      <c r="H8" s="4"/>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n">
        <v>6</v>
      </c>
      <c r="B9" s="17" t="n">
        <f aca="false">EOMONTH('Property Info'!$B$7,A9-1)</f>
        <v>46387</v>
      </c>
      <c r="C9" s="18" t="n">
        <f aca="false">E8</f>
        <v>0</v>
      </c>
      <c r="D9" s="18" t="n">
        <f aca="false">MIN('Market Assumptions'!$B$6,C9)</f>
        <v>0</v>
      </c>
      <c r="E9" s="18" t="n">
        <f aca="false">MAX(C9-D9,0)</f>
        <v>0</v>
      </c>
      <c r="F9" s="19" t="n">
        <f aca="false">'Market Assumptions'!$B$4*(1+'Market Assumptions'!$B$5/12)^(A9-1)</f>
        <v>0</v>
      </c>
      <c r="G9" s="19" t="n">
        <f aca="false">D9*F9</f>
        <v>0</v>
      </c>
      <c r="H9" s="4"/>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n">
        <v>7</v>
      </c>
      <c r="B10" s="17" t="n">
        <f aca="false">EOMONTH('Property Info'!$B$7,A10-1)</f>
        <v>46418</v>
      </c>
      <c r="C10" s="18" t="n">
        <f aca="false">E9</f>
        <v>0</v>
      </c>
      <c r="D10" s="18" t="n">
        <f aca="false">MIN('Market Assumptions'!$B$6,C10)</f>
        <v>0</v>
      </c>
      <c r="E10" s="18" t="n">
        <f aca="false">MAX(C10-D10,0)</f>
        <v>0</v>
      </c>
      <c r="F10" s="19" t="n">
        <f aca="false">'Market Assumptions'!$B$4*(1+'Market Assumptions'!$B$5/12)^(A10-1)</f>
        <v>0</v>
      </c>
      <c r="G10" s="19" t="n">
        <f aca="false">D10*F10</f>
        <v>0</v>
      </c>
      <c r="H10" s="4"/>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n">
        <v>8</v>
      </c>
      <c r="B11" s="17" t="n">
        <f aca="false">EOMONTH('Property Info'!$B$7,A11-1)</f>
        <v>46446</v>
      </c>
      <c r="C11" s="18" t="n">
        <f aca="false">E10</f>
        <v>0</v>
      </c>
      <c r="D11" s="18" t="n">
        <f aca="false">MIN('Market Assumptions'!$B$6,C11)</f>
        <v>0</v>
      </c>
      <c r="E11" s="18" t="n">
        <f aca="false">MAX(C11-D11,0)</f>
        <v>0</v>
      </c>
      <c r="F11" s="19" t="n">
        <f aca="false">'Market Assumptions'!$B$4*(1+'Market Assumptions'!$B$5/12)^(A11-1)</f>
        <v>0</v>
      </c>
      <c r="G11" s="19" t="n">
        <f aca="false">D11*F11</f>
        <v>0</v>
      </c>
      <c r="H11" s="4"/>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2" t="n">
        <v>9</v>
      </c>
      <c r="B12" s="17" t="n">
        <f aca="false">EOMONTH('Property Info'!$B$7,A12-1)</f>
        <v>46477</v>
      </c>
      <c r="C12" s="18" t="n">
        <f aca="false">E11</f>
        <v>0</v>
      </c>
      <c r="D12" s="18" t="n">
        <f aca="false">MIN('Market Assumptions'!$B$6,C12)</f>
        <v>0</v>
      </c>
      <c r="E12" s="18" t="n">
        <f aca="false">MAX(C12-D12,0)</f>
        <v>0</v>
      </c>
      <c r="F12" s="19" t="n">
        <f aca="false">'Market Assumptions'!$B$4*(1+'Market Assumptions'!$B$5/12)^(A12-1)</f>
        <v>0</v>
      </c>
      <c r="G12" s="19" t="n">
        <f aca="false">D12*F12</f>
        <v>0</v>
      </c>
      <c r="H12" s="4"/>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n">
        <v>10</v>
      </c>
      <c r="B13" s="17" t="n">
        <f aca="false">EOMONTH('Property Info'!$B$7,A13-1)</f>
        <v>46507</v>
      </c>
      <c r="C13" s="18" t="n">
        <f aca="false">E12</f>
        <v>0</v>
      </c>
      <c r="D13" s="18" t="n">
        <f aca="false">MIN('Market Assumptions'!$B$6,C13)</f>
        <v>0</v>
      </c>
      <c r="E13" s="18" t="n">
        <f aca="false">MAX(C13-D13,0)</f>
        <v>0</v>
      </c>
      <c r="F13" s="19" t="n">
        <f aca="false">'Market Assumptions'!$B$4*(1+'Market Assumptions'!$B$5/12)^(A13-1)</f>
        <v>0</v>
      </c>
      <c r="G13" s="19" t="n">
        <f aca="false">D13*F13</f>
        <v>0</v>
      </c>
      <c r="H13" s="4"/>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 t="n">
        <v>11</v>
      </c>
      <c r="B14" s="17" t="n">
        <f aca="false">EOMONTH('Property Info'!$B$7,A14-1)</f>
        <v>46538</v>
      </c>
      <c r="C14" s="18" t="n">
        <f aca="false">E13</f>
        <v>0</v>
      </c>
      <c r="D14" s="18" t="n">
        <f aca="false">MIN('Market Assumptions'!$B$6,C14)</f>
        <v>0</v>
      </c>
      <c r="E14" s="18" t="n">
        <f aca="false">MAX(C14-D14,0)</f>
        <v>0</v>
      </c>
      <c r="F14" s="19" t="n">
        <f aca="false">'Market Assumptions'!$B$4*(1+'Market Assumptions'!$B$5/12)^(A14-1)</f>
        <v>0</v>
      </c>
      <c r="G14" s="19" t="n">
        <f aca="false">D14*F14</f>
        <v>0</v>
      </c>
      <c r="H14" s="4"/>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t="n">
        <v>12</v>
      </c>
      <c r="B15" s="17" t="n">
        <f aca="false">EOMONTH('Property Info'!$B$7,A15-1)</f>
        <v>46568</v>
      </c>
      <c r="C15" s="18" t="n">
        <f aca="false">E14</f>
        <v>0</v>
      </c>
      <c r="D15" s="18" t="n">
        <f aca="false">MIN('Market Assumptions'!$B$6,C15)</f>
        <v>0</v>
      </c>
      <c r="E15" s="18" t="n">
        <f aca="false">MAX(C15-D15,0)</f>
        <v>0</v>
      </c>
      <c r="F15" s="19" t="n">
        <f aca="false">'Market Assumptions'!$B$4*(1+'Market Assumptions'!$B$5/12)^(A15-1)</f>
        <v>0</v>
      </c>
      <c r="G15" s="19" t="n">
        <f aca="false">D15*F15</f>
        <v>0</v>
      </c>
      <c r="H15" s="4"/>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t="n">
        <v>13</v>
      </c>
      <c r="B16" s="17" t="n">
        <f aca="false">EOMONTH('Property Info'!$B$7,A16-1)</f>
        <v>46599</v>
      </c>
      <c r="C16" s="18" t="n">
        <f aca="false">E15</f>
        <v>0</v>
      </c>
      <c r="D16" s="18" t="n">
        <f aca="false">MIN('Market Assumptions'!$B$6,C16)</f>
        <v>0</v>
      </c>
      <c r="E16" s="18" t="n">
        <f aca="false">MAX(C16-D16,0)</f>
        <v>0</v>
      </c>
      <c r="F16" s="19" t="n">
        <f aca="false">'Market Assumptions'!$B$4*(1+'Market Assumptions'!$B$5/12)^(A16-1)</f>
        <v>0</v>
      </c>
      <c r="G16" s="19" t="n">
        <f aca="false">D16*F16</f>
        <v>0</v>
      </c>
      <c r="H16" s="4"/>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t="n">
        <v>14</v>
      </c>
      <c r="B17" s="17" t="n">
        <f aca="false">EOMONTH('Property Info'!$B$7,A17-1)</f>
        <v>46630</v>
      </c>
      <c r="C17" s="18" t="n">
        <f aca="false">E16</f>
        <v>0</v>
      </c>
      <c r="D17" s="18" t="n">
        <f aca="false">MIN('Market Assumptions'!$B$6,C17)</f>
        <v>0</v>
      </c>
      <c r="E17" s="18" t="n">
        <f aca="false">MAX(C17-D17,0)</f>
        <v>0</v>
      </c>
      <c r="F17" s="19" t="n">
        <f aca="false">'Market Assumptions'!$B$4*(1+'Market Assumptions'!$B$5/12)^(A17-1)</f>
        <v>0</v>
      </c>
      <c r="G17" s="19" t="n">
        <f aca="false">D17*F17</f>
        <v>0</v>
      </c>
      <c r="H17" s="4"/>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t="n">
        <v>15</v>
      </c>
      <c r="B18" s="17" t="n">
        <f aca="false">EOMONTH('Property Info'!$B$7,A18-1)</f>
        <v>46660</v>
      </c>
      <c r="C18" s="18" t="n">
        <f aca="false">E17</f>
        <v>0</v>
      </c>
      <c r="D18" s="18" t="n">
        <f aca="false">MIN('Market Assumptions'!$B$6,C18)</f>
        <v>0</v>
      </c>
      <c r="E18" s="18" t="n">
        <f aca="false">MAX(C18-D18,0)</f>
        <v>0</v>
      </c>
      <c r="F18" s="19" t="n">
        <f aca="false">'Market Assumptions'!$B$4*(1+'Market Assumptions'!$B$5/12)^(A18-1)</f>
        <v>0</v>
      </c>
      <c r="G18" s="19" t="n">
        <f aca="false">D18*F18</f>
        <v>0</v>
      </c>
      <c r="H18" s="4"/>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t="n">
        <v>16</v>
      </c>
      <c r="B19" s="17" t="n">
        <f aca="false">EOMONTH('Property Info'!$B$7,A19-1)</f>
        <v>46691</v>
      </c>
      <c r="C19" s="18" t="n">
        <f aca="false">E18</f>
        <v>0</v>
      </c>
      <c r="D19" s="18" t="n">
        <f aca="false">MIN('Market Assumptions'!$B$6,C19)</f>
        <v>0</v>
      </c>
      <c r="E19" s="18" t="n">
        <f aca="false">MAX(C19-D19,0)</f>
        <v>0</v>
      </c>
      <c r="F19" s="19" t="n">
        <f aca="false">'Market Assumptions'!$B$4*(1+'Market Assumptions'!$B$5/12)^(A19-1)</f>
        <v>0</v>
      </c>
      <c r="G19" s="19" t="n">
        <f aca="false">D19*F19</f>
        <v>0</v>
      </c>
      <c r="H19" s="4"/>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t="n">
        <v>17</v>
      </c>
      <c r="B20" s="17" t="n">
        <f aca="false">EOMONTH('Property Info'!$B$7,A20-1)</f>
        <v>46721</v>
      </c>
      <c r="C20" s="18" t="n">
        <f aca="false">E19</f>
        <v>0</v>
      </c>
      <c r="D20" s="18" t="n">
        <f aca="false">MIN('Market Assumptions'!$B$6,C20)</f>
        <v>0</v>
      </c>
      <c r="E20" s="18" t="n">
        <f aca="false">MAX(C20-D20,0)</f>
        <v>0</v>
      </c>
      <c r="F20" s="19" t="n">
        <f aca="false">'Market Assumptions'!$B$4*(1+'Market Assumptions'!$B$5/12)^(A20-1)</f>
        <v>0</v>
      </c>
      <c r="G20" s="19" t="n">
        <f aca="false">D20*F20</f>
        <v>0</v>
      </c>
      <c r="H20" s="4"/>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t="n">
        <v>18</v>
      </c>
      <c r="B21" s="17" t="n">
        <f aca="false">EOMONTH('Property Info'!$B$7,A21-1)</f>
        <v>46752</v>
      </c>
      <c r="C21" s="18" t="n">
        <f aca="false">E20</f>
        <v>0</v>
      </c>
      <c r="D21" s="18" t="n">
        <f aca="false">MIN('Market Assumptions'!$B$6,C21)</f>
        <v>0</v>
      </c>
      <c r="E21" s="18" t="n">
        <f aca="false">MAX(C21-D21,0)</f>
        <v>0</v>
      </c>
      <c r="F21" s="19" t="n">
        <f aca="false">'Market Assumptions'!$B$4*(1+'Market Assumptions'!$B$5/12)^(A21-1)</f>
        <v>0</v>
      </c>
      <c r="G21" s="19" t="n">
        <f aca="false">D21*F21</f>
        <v>0</v>
      </c>
      <c r="H21" s="4"/>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t="n">
        <v>19</v>
      </c>
      <c r="B22" s="17" t="n">
        <f aca="false">EOMONTH('Property Info'!$B$7,A22-1)</f>
        <v>46783</v>
      </c>
      <c r="C22" s="18" t="n">
        <f aca="false">E21</f>
        <v>0</v>
      </c>
      <c r="D22" s="18" t="n">
        <f aca="false">MIN('Market Assumptions'!$B$6,C22)</f>
        <v>0</v>
      </c>
      <c r="E22" s="18" t="n">
        <f aca="false">MAX(C22-D22,0)</f>
        <v>0</v>
      </c>
      <c r="F22" s="19" t="n">
        <f aca="false">'Market Assumptions'!$B$4*(1+'Market Assumptions'!$B$5/12)^(A22-1)</f>
        <v>0</v>
      </c>
      <c r="G22" s="19" t="n">
        <f aca="false">D22*F22</f>
        <v>0</v>
      </c>
      <c r="H22" s="4"/>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t="n">
        <v>20</v>
      </c>
      <c r="B23" s="17" t="n">
        <f aca="false">EOMONTH('Property Info'!$B$7,A23-1)</f>
        <v>46812</v>
      </c>
      <c r="C23" s="18" t="n">
        <f aca="false">E22</f>
        <v>0</v>
      </c>
      <c r="D23" s="18" t="n">
        <f aca="false">MIN('Market Assumptions'!$B$6,C23)</f>
        <v>0</v>
      </c>
      <c r="E23" s="18" t="n">
        <f aca="false">MAX(C23-D23,0)</f>
        <v>0</v>
      </c>
      <c r="F23" s="19" t="n">
        <f aca="false">'Market Assumptions'!$B$4*(1+'Market Assumptions'!$B$5/12)^(A23-1)</f>
        <v>0</v>
      </c>
      <c r="G23" s="19" t="n">
        <f aca="false">D23*F23</f>
        <v>0</v>
      </c>
      <c r="H23" s="4"/>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t="n">
        <v>21</v>
      </c>
      <c r="B24" s="17" t="n">
        <f aca="false">EOMONTH('Property Info'!$B$7,A24-1)</f>
        <v>46843</v>
      </c>
      <c r="C24" s="18" t="n">
        <f aca="false">E23</f>
        <v>0</v>
      </c>
      <c r="D24" s="18" t="n">
        <f aca="false">MIN('Market Assumptions'!$B$6,C24)</f>
        <v>0</v>
      </c>
      <c r="E24" s="18" t="n">
        <f aca="false">MAX(C24-D24,0)</f>
        <v>0</v>
      </c>
      <c r="F24" s="19" t="n">
        <f aca="false">'Market Assumptions'!$B$4*(1+'Market Assumptions'!$B$5/12)^(A24-1)</f>
        <v>0</v>
      </c>
      <c r="G24" s="19" t="n">
        <f aca="false">D24*F24</f>
        <v>0</v>
      </c>
      <c r="H24" s="4"/>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t="n">
        <v>22</v>
      </c>
      <c r="B25" s="17" t="n">
        <f aca="false">EOMONTH('Property Info'!$B$7,A25-1)</f>
        <v>46873</v>
      </c>
      <c r="C25" s="18" t="n">
        <f aca="false">E24</f>
        <v>0</v>
      </c>
      <c r="D25" s="18" t="n">
        <f aca="false">MIN('Market Assumptions'!$B$6,C25)</f>
        <v>0</v>
      </c>
      <c r="E25" s="18" t="n">
        <f aca="false">MAX(C25-D25,0)</f>
        <v>0</v>
      </c>
      <c r="F25" s="19" t="n">
        <f aca="false">'Market Assumptions'!$B$4*(1+'Market Assumptions'!$B$5/12)^(A25-1)</f>
        <v>0</v>
      </c>
      <c r="G25" s="19" t="n">
        <f aca="false">D25*F25</f>
        <v>0</v>
      </c>
      <c r="H25" s="4"/>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t="n">
        <v>23</v>
      </c>
      <c r="B26" s="17" t="n">
        <f aca="false">EOMONTH('Property Info'!$B$7,A26-1)</f>
        <v>46904</v>
      </c>
      <c r="C26" s="18" t="n">
        <f aca="false">E25</f>
        <v>0</v>
      </c>
      <c r="D26" s="18" t="n">
        <f aca="false">MIN('Market Assumptions'!$B$6,C26)</f>
        <v>0</v>
      </c>
      <c r="E26" s="18" t="n">
        <f aca="false">MAX(C26-D26,0)</f>
        <v>0</v>
      </c>
      <c r="F26" s="19" t="n">
        <f aca="false">'Market Assumptions'!$B$4*(1+'Market Assumptions'!$B$5/12)^(A26-1)</f>
        <v>0</v>
      </c>
      <c r="G26" s="19" t="n">
        <f aca="false">D26*F26</f>
        <v>0</v>
      </c>
      <c r="H26" s="4"/>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t="n">
        <v>24</v>
      </c>
      <c r="B27" s="17" t="n">
        <f aca="false">EOMONTH('Property Info'!$B$7,A27-1)</f>
        <v>46934</v>
      </c>
      <c r="C27" s="18" t="n">
        <f aca="false">E26</f>
        <v>0</v>
      </c>
      <c r="D27" s="18" t="n">
        <f aca="false">MIN('Market Assumptions'!$B$6,C27)</f>
        <v>0</v>
      </c>
      <c r="E27" s="18" t="n">
        <f aca="false">MAX(C27-D27,0)</f>
        <v>0</v>
      </c>
      <c r="F27" s="19" t="n">
        <f aca="false">'Market Assumptions'!$B$4*(1+'Market Assumptions'!$B$5/12)^(A27-1)</f>
        <v>0</v>
      </c>
      <c r="G27" s="19" t="n">
        <f aca="false">D27*F27</f>
        <v>0</v>
      </c>
      <c r="H27" s="4"/>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t="n">
        <v>25</v>
      </c>
      <c r="B28" s="17" t="n">
        <f aca="false">EOMONTH('Property Info'!$B$7,A28-1)</f>
        <v>46965</v>
      </c>
      <c r="C28" s="18" t="n">
        <f aca="false">E27</f>
        <v>0</v>
      </c>
      <c r="D28" s="18" t="n">
        <f aca="false">MIN('Market Assumptions'!$B$6,C28)</f>
        <v>0</v>
      </c>
      <c r="E28" s="18" t="n">
        <f aca="false">MAX(C28-D28,0)</f>
        <v>0</v>
      </c>
      <c r="F28" s="19" t="n">
        <f aca="false">'Market Assumptions'!$B$4*(1+'Market Assumptions'!$B$5/12)^(A28-1)</f>
        <v>0</v>
      </c>
      <c r="G28" s="19" t="n">
        <f aca="false">D28*F28</f>
        <v>0</v>
      </c>
      <c r="H28" s="4"/>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t="n">
        <v>26</v>
      </c>
      <c r="B29" s="17" t="n">
        <f aca="false">EOMONTH('Property Info'!$B$7,A29-1)</f>
        <v>46996</v>
      </c>
      <c r="C29" s="18" t="n">
        <f aca="false">E28</f>
        <v>0</v>
      </c>
      <c r="D29" s="18" t="n">
        <f aca="false">MIN('Market Assumptions'!$B$6,C29)</f>
        <v>0</v>
      </c>
      <c r="E29" s="18" t="n">
        <f aca="false">MAX(C29-D29,0)</f>
        <v>0</v>
      </c>
      <c r="F29" s="19" t="n">
        <f aca="false">'Market Assumptions'!$B$4*(1+'Market Assumptions'!$B$5/12)^(A29-1)</f>
        <v>0</v>
      </c>
      <c r="G29" s="19" t="n">
        <f aca="false">D29*F29</f>
        <v>0</v>
      </c>
      <c r="H29" s="4"/>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t="n">
        <v>27</v>
      </c>
      <c r="B30" s="17" t="n">
        <f aca="false">EOMONTH('Property Info'!$B$7,A30-1)</f>
        <v>47026</v>
      </c>
      <c r="C30" s="18" t="n">
        <f aca="false">E29</f>
        <v>0</v>
      </c>
      <c r="D30" s="18" t="n">
        <f aca="false">MIN('Market Assumptions'!$B$6,C30)</f>
        <v>0</v>
      </c>
      <c r="E30" s="18" t="n">
        <f aca="false">MAX(C30-D30,0)</f>
        <v>0</v>
      </c>
      <c r="F30" s="19" t="n">
        <f aca="false">'Market Assumptions'!$B$4*(1+'Market Assumptions'!$B$5/12)^(A30-1)</f>
        <v>0</v>
      </c>
      <c r="G30" s="19" t="n">
        <f aca="false">D30*F30</f>
        <v>0</v>
      </c>
      <c r="H30" s="4"/>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t="n">
        <v>28</v>
      </c>
      <c r="B31" s="17" t="n">
        <f aca="false">EOMONTH('Property Info'!$B$7,A31-1)</f>
        <v>47057</v>
      </c>
      <c r="C31" s="18" t="n">
        <f aca="false">E30</f>
        <v>0</v>
      </c>
      <c r="D31" s="18" t="n">
        <f aca="false">MIN('Market Assumptions'!$B$6,C31)</f>
        <v>0</v>
      </c>
      <c r="E31" s="18" t="n">
        <f aca="false">MAX(C31-D31,0)</f>
        <v>0</v>
      </c>
      <c r="F31" s="19" t="n">
        <f aca="false">'Market Assumptions'!$B$4*(1+'Market Assumptions'!$B$5/12)^(A31-1)</f>
        <v>0</v>
      </c>
      <c r="G31" s="19" t="n">
        <f aca="false">D31*F31</f>
        <v>0</v>
      </c>
      <c r="H31" s="4"/>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t="n">
        <v>29</v>
      </c>
      <c r="B32" s="17" t="n">
        <f aca="false">EOMONTH('Property Info'!$B$7,A32-1)</f>
        <v>47087</v>
      </c>
      <c r="C32" s="18" t="n">
        <f aca="false">E31</f>
        <v>0</v>
      </c>
      <c r="D32" s="18" t="n">
        <f aca="false">MIN('Market Assumptions'!$B$6,C32)</f>
        <v>0</v>
      </c>
      <c r="E32" s="18" t="n">
        <f aca="false">MAX(C32-D32,0)</f>
        <v>0</v>
      </c>
      <c r="F32" s="19" t="n">
        <f aca="false">'Market Assumptions'!$B$4*(1+'Market Assumptions'!$B$5/12)^(A32-1)</f>
        <v>0</v>
      </c>
      <c r="G32" s="19" t="n">
        <f aca="false">D32*F32</f>
        <v>0</v>
      </c>
      <c r="H32" s="4"/>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t="n">
        <v>30</v>
      </c>
      <c r="B33" s="17" t="n">
        <f aca="false">EOMONTH('Property Info'!$B$7,A33-1)</f>
        <v>47118</v>
      </c>
      <c r="C33" s="18" t="n">
        <f aca="false">E32</f>
        <v>0</v>
      </c>
      <c r="D33" s="18" t="n">
        <f aca="false">MIN('Market Assumptions'!$B$6,C33)</f>
        <v>0</v>
      </c>
      <c r="E33" s="18" t="n">
        <f aca="false">MAX(C33-D33,0)</f>
        <v>0</v>
      </c>
      <c r="F33" s="19" t="n">
        <f aca="false">'Market Assumptions'!$B$4*(1+'Market Assumptions'!$B$5/12)^(A33-1)</f>
        <v>0</v>
      </c>
      <c r="G33" s="19" t="n">
        <f aca="false">D33*F33</f>
        <v>0</v>
      </c>
      <c r="H33" s="4"/>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t="n">
        <v>31</v>
      </c>
      <c r="B34" s="17" t="n">
        <f aca="false">EOMONTH('Property Info'!$B$7,A34-1)</f>
        <v>47149</v>
      </c>
      <c r="C34" s="18" t="n">
        <f aca="false">E33</f>
        <v>0</v>
      </c>
      <c r="D34" s="18" t="n">
        <f aca="false">MIN('Market Assumptions'!$B$6,C34)</f>
        <v>0</v>
      </c>
      <c r="E34" s="18" t="n">
        <f aca="false">MAX(C34-D34,0)</f>
        <v>0</v>
      </c>
      <c r="F34" s="19" t="n">
        <f aca="false">'Market Assumptions'!$B$4*(1+'Market Assumptions'!$B$5/12)^(A34-1)</f>
        <v>0</v>
      </c>
      <c r="G34" s="19" t="n">
        <f aca="false">D34*F34</f>
        <v>0</v>
      </c>
      <c r="H34" s="4"/>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t="n">
        <v>32</v>
      </c>
      <c r="B35" s="17" t="n">
        <f aca="false">EOMONTH('Property Info'!$B$7,A35-1)</f>
        <v>47177</v>
      </c>
      <c r="C35" s="18" t="n">
        <f aca="false">E34</f>
        <v>0</v>
      </c>
      <c r="D35" s="18" t="n">
        <f aca="false">MIN('Market Assumptions'!$B$6,C35)</f>
        <v>0</v>
      </c>
      <c r="E35" s="18" t="n">
        <f aca="false">MAX(C35-D35,0)</f>
        <v>0</v>
      </c>
      <c r="F35" s="19" t="n">
        <f aca="false">'Market Assumptions'!$B$4*(1+'Market Assumptions'!$B$5/12)^(A35-1)</f>
        <v>0</v>
      </c>
      <c r="G35" s="19" t="n">
        <f aca="false">D35*F35</f>
        <v>0</v>
      </c>
      <c r="H35" s="4"/>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t="n">
        <v>33</v>
      </c>
      <c r="B36" s="17" t="n">
        <f aca="false">EOMONTH('Property Info'!$B$7,A36-1)</f>
        <v>47208</v>
      </c>
      <c r="C36" s="18" t="n">
        <f aca="false">E35</f>
        <v>0</v>
      </c>
      <c r="D36" s="18" t="n">
        <f aca="false">MIN('Market Assumptions'!$B$6,C36)</f>
        <v>0</v>
      </c>
      <c r="E36" s="18" t="n">
        <f aca="false">MAX(C36-D36,0)</f>
        <v>0</v>
      </c>
      <c r="F36" s="19" t="n">
        <f aca="false">'Market Assumptions'!$B$4*(1+'Market Assumptions'!$B$5/12)^(A36-1)</f>
        <v>0</v>
      </c>
      <c r="G36" s="19" t="n">
        <f aca="false">D36*F36</f>
        <v>0</v>
      </c>
      <c r="H36" s="4"/>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t="n">
        <v>34</v>
      </c>
      <c r="B37" s="17" t="n">
        <f aca="false">EOMONTH('Property Info'!$B$7,A37-1)</f>
        <v>47238</v>
      </c>
      <c r="C37" s="18" t="n">
        <f aca="false">E36</f>
        <v>0</v>
      </c>
      <c r="D37" s="18" t="n">
        <f aca="false">MIN('Market Assumptions'!$B$6,C37)</f>
        <v>0</v>
      </c>
      <c r="E37" s="18" t="n">
        <f aca="false">MAX(C37-D37,0)</f>
        <v>0</v>
      </c>
      <c r="F37" s="19" t="n">
        <f aca="false">'Market Assumptions'!$B$4*(1+'Market Assumptions'!$B$5/12)^(A37-1)</f>
        <v>0</v>
      </c>
      <c r="G37" s="19" t="n">
        <f aca="false">D37*F37</f>
        <v>0</v>
      </c>
      <c r="H37" s="4"/>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t="n">
        <v>35</v>
      </c>
      <c r="B38" s="17" t="n">
        <f aca="false">EOMONTH('Property Info'!$B$7,A38-1)</f>
        <v>47269</v>
      </c>
      <c r="C38" s="18" t="n">
        <f aca="false">E37</f>
        <v>0</v>
      </c>
      <c r="D38" s="18" t="n">
        <f aca="false">MIN('Market Assumptions'!$B$6,C38)</f>
        <v>0</v>
      </c>
      <c r="E38" s="18" t="n">
        <f aca="false">MAX(C38-D38,0)</f>
        <v>0</v>
      </c>
      <c r="F38" s="19" t="n">
        <f aca="false">'Market Assumptions'!$B$4*(1+'Market Assumptions'!$B$5/12)^(A38-1)</f>
        <v>0</v>
      </c>
      <c r="G38" s="19" t="n">
        <f aca="false">D38*F38</f>
        <v>0</v>
      </c>
      <c r="H38" s="4"/>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t="n">
        <v>36</v>
      </c>
      <c r="B39" s="17" t="n">
        <f aca="false">EOMONTH('Property Info'!$B$7,A39-1)</f>
        <v>47299</v>
      </c>
      <c r="C39" s="18" t="n">
        <f aca="false">E38</f>
        <v>0</v>
      </c>
      <c r="D39" s="18" t="n">
        <f aca="false">MIN('Market Assumptions'!$B$6,C39)</f>
        <v>0</v>
      </c>
      <c r="E39" s="18" t="n">
        <f aca="false">MAX(C39-D39,0)</f>
        <v>0</v>
      </c>
      <c r="F39" s="19" t="n">
        <f aca="false">'Market Assumptions'!$B$4*(1+'Market Assumptions'!$B$5/12)^(A39-1)</f>
        <v>0</v>
      </c>
      <c r="G39" s="19" t="n">
        <f aca="false">D39*F39</f>
        <v>0</v>
      </c>
      <c r="H39" s="4"/>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t="n">
        <v>37</v>
      </c>
      <c r="B40" s="17" t="n">
        <f aca="false">EOMONTH('Property Info'!$B$7,A40-1)</f>
        <v>47330</v>
      </c>
      <c r="C40" s="18" t="n">
        <f aca="false">E39</f>
        <v>0</v>
      </c>
      <c r="D40" s="18" t="n">
        <f aca="false">MIN('Market Assumptions'!$B$6,C40)</f>
        <v>0</v>
      </c>
      <c r="E40" s="18" t="n">
        <f aca="false">MAX(C40-D40,0)</f>
        <v>0</v>
      </c>
      <c r="F40" s="19" t="n">
        <f aca="false">'Market Assumptions'!$B$4*(1+'Market Assumptions'!$B$5/12)^(A40-1)</f>
        <v>0</v>
      </c>
      <c r="G40" s="19" t="n">
        <f aca="false">D40*F40</f>
        <v>0</v>
      </c>
      <c r="H40" s="4"/>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t="n">
        <v>38</v>
      </c>
      <c r="B41" s="17" t="n">
        <f aca="false">EOMONTH('Property Info'!$B$7,A41-1)</f>
        <v>47361</v>
      </c>
      <c r="C41" s="18" t="n">
        <f aca="false">E40</f>
        <v>0</v>
      </c>
      <c r="D41" s="18" t="n">
        <f aca="false">MIN('Market Assumptions'!$B$6,C41)</f>
        <v>0</v>
      </c>
      <c r="E41" s="18" t="n">
        <f aca="false">MAX(C41-D41,0)</f>
        <v>0</v>
      </c>
      <c r="F41" s="19" t="n">
        <f aca="false">'Market Assumptions'!$B$4*(1+'Market Assumptions'!$B$5/12)^(A41-1)</f>
        <v>0</v>
      </c>
      <c r="G41" s="19" t="n">
        <f aca="false">D41*F41</f>
        <v>0</v>
      </c>
      <c r="H41" s="4"/>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t="n">
        <v>39</v>
      </c>
      <c r="B42" s="17" t="n">
        <f aca="false">EOMONTH('Property Info'!$B$7,A42-1)</f>
        <v>47391</v>
      </c>
      <c r="C42" s="18" t="n">
        <f aca="false">E41</f>
        <v>0</v>
      </c>
      <c r="D42" s="18" t="n">
        <f aca="false">MIN('Market Assumptions'!$B$6,C42)</f>
        <v>0</v>
      </c>
      <c r="E42" s="18" t="n">
        <f aca="false">MAX(C42-D42,0)</f>
        <v>0</v>
      </c>
      <c r="F42" s="19" t="n">
        <f aca="false">'Market Assumptions'!$B$4*(1+'Market Assumptions'!$B$5/12)^(A42-1)</f>
        <v>0</v>
      </c>
      <c r="G42" s="19" t="n">
        <f aca="false">D42*F42</f>
        <v>0</v>
      </c>
      <c r="H42" s="4"/>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t="n">
        <v>40</v>
      </c>
      <c r="B43" s="17" t="n">
        <f aca="false">EOMONTH('Property Info'!$B$7,A43-1)</f>
        <v>47422</v>
      </c>
      <c r="C43" s="18" t="n">
        <f aca="false">E42</f>
        <v>0</v>
      </c>
      <c r="D43" s="18" t="n">
        <f aca="false">MIN('Market Assumptions'!$B$6,C43)</f>
        <v>0</v>
      </c>
      <c r="E43" s="18" t="n">
        <f aca="false">MAX(C43-D43,0)</f>
        <v>0</v>
      </c>
      <c r="F43" s="19" t="n">
        <f aca="false">'Market Assumptions'!$B$4*(1+'Market Assumptions'!$B$5/12)^(A43-1)</f>
        <v>0</v>
      </c>
      <c r="G43" s="19" t="n">
        <f aca="false">D43*F43</f>
        <v>0</v>
      </c>
      <c r="H43" s="4"/>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t="n">
        <v>41</v>
      </c>
      <c r="B44" s="17" t="n">
        <f aca="false">EOMONTH('Property Info'!$B$7,A44-1)</f>
        <v>47452</v>
      </c>
      <c r="C44" s="18" t="n">
        <f aca="false">E43</f>
        <v>0</v>
      </c>
      <c r="D44" s="18" t="n">
        <f aca="false">MIN('Market Assumptions'!$B$6,C44)</f>
        <v>0</v>
      </c>
      <c r="E44" s="18" t="n">
        <f aca="false">MAX(C44-D44,0)</f>
        <v>0</v>
      </c>
      <c r="F44" s="19" t="n">
        <f aca="false">'Market Assumptions'!$B$4*(1+'Market Assumptions'!$B$5/12)^(A44-1)</f>
        <v>0</v>
      </c>
      <c r="G44" s="19" t="n">
        <f aca="false">D44*F44</f>
        <v>0</v>
      </c>
      <c r="H44" s="4"/>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t="n">
        <v>42</v>
      </c>
      <c r="B45" s="17" t="n">
        <f aca="false">EOMONTH('Property Info'!$B$7,A45-1)</f>
        <v>47483</v>
      </c>
      <c r="C45" s="18" t="n">
        <f aca="false">E44</f>
        <v>0</v>
      </c>
      <c r="D45" s="18" t="n">
        <f aca="false">MIN('Market Assumptions'!$B$6,C45)</f>
        <v>0</v>
      </c>
      <c r="E45" s="18" t="n">
        <f aca="false">MAX(C45-D45,0)</f>
        <v>0</v>
      </c>
      <c r="F45" s="19" t="n">
        <f aca="false">'Market Assumptions'!$B$4*(1+'Market Assumptions'!$B$5/12)^(A45-1)</f>
        <v>0</v>
      </c>
      <c r="G45" s="19" t="n">
        <f aca="false">D45*F45</f>
        <v>0</v>
      </c>
      <c r="H45" s="4"/>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t="n">
        <v>43</v>
      </c>
      <c r="B46" s="17" t="n">
        <f aca="false">EOMONTH('Property Info'!$B$7,A46-1)</f>
        <v>47514</v>
      </c>
      <c r="C46" s="18" t="n">
        <f aca="false">E45</f>
        <v>0</v>
      </c>
      <c r="D46" s="18" t="n">
        <f aca="false">MIN('Market Assumptions'!$B$6,C46)</f>
        <v>0</v>
      </c>
      <c r="E46" s="18" t="n">
        <f aca="false">MAX(C46-D46,0)</f>
        <v>0</v>
      </c>
      <c r="F46" s="19" t="n">
        <f aca="false">'Market Assumptions'!$B$4*(1+'Market Assumptions'!$B$5/12)^(A46-1)</f>
        <v>0</v>
      </c>
      <c r="G46" s="19" t="n">
        <f aca="false">D46*F46</f>
        <v>0</v>
      </c>
      <c r="H46" s="4"/>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t="n">
        <v>44</v>
      </c>
      <c r="B47" s="17" t="n">
        <f aca="false">EOMONTH('Property Info'!$B$7,A47-1)</f>
        <v>47542</v>
      </c>
      <c r="C47" s="18" t="n">
        <f aca="false">E46</f>
        <v>0</v>
      </c>
      <c r="D47" s="18" t="n">
        <f aca="false">MIN('Market Assumptions'!$B$6,C47)</f>
        <v>0</v>
      </c>
      <c r="E47" s="18" t="n">
        <f aca="false">MAX(C47-D47,0)</f>
        <v>0</v>
      </c>
      <c r="F47" s="19" t="n">
        <f aca="false">'Market Assumptions'!$B$4*(1+'Market Assumptions'!$B$5/12)^(A47-1)</f>
        <v>0</v>
      </c>
      <c r="G47" s="19" t="n">
        <f aca="false">D47*F47</f>
        <v>0</v>
      </c>
      <c r="H47" s="4"/>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t="n">
        <v>45</v>
      </c>
      <c r="B48" s="17" t="n">
        <f aca="false">EOMONTH('Property Info'!$B$7,A48-1)</f>
        <v>47573</v>
      </c>
      <c r="C48" s="18" t="n">
        <f aca="false">E47</f>
        <v>0</v>
      </c>
      <c r="D48" s="18" t="n">
        <f aca="false">MIN('Market Assumptions'!$B$6,C48)</f>
        <v>0</v>
      </c>
      <c r="E48" s="18" t="n">
        <f aca="false">MAX(C48-D48,0)</f>
        <v>0</v>
      </c>
      <c r="F48" s="19" t="n">
        <f aca="false">'Market Assumptions'!$B$4*(1+'Market Assumptions'!$B$5/12)^(A48-1)</f>
        <v>0</v>
      </c>
      <c r="G48" s="19" t="n">
        <f aca="false">D48*F48</f>
        <v>0</v>
      </c>
      <c r="H48" s="4"/>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t="n">
        <v>46</v>
      </c>
      <c r="B49" s="17" t="n">
        <f aca="false">EOMONTH('Property Info'!$B$7,A49-1)</f>
        <v>47603</v>
      </c>
      <c r="C49" s="18" t="n">
        <f aca="false">E48</f>
        <v>0</v>
      </c>
      <c r="D49" s="18" t="n">
        <f aca="false">MIN('Market Assumptions'!$B$6,C49)</f>
        <v>0</v>
      </c>
      <c r="E49" s="18" t="n">
        <f aca="false">MAX(C49-D49,0)</f>
        <v>0</v>
      </c>
      <c r="F49" s="19" t="n">
        <f aca="false">'Market Assumptions'!$B$4*(1+'Market Assumptions'!$B$5/12)^(A49-1)</f>
        <v>0</v>
      </c>
      <c r="G49" s="19" t="n">
        <f aca="false">D49*F49</f>
        <v>0</v>
      </c>
      <c r="H49" s="4"/>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t="n">
        <v>47</v>
      </c>
      <c r="B50" s="17" t="n">
        <f aca="false">EOMONTH('Property Info'!$B$7,A50-1)</f>
        <v>47634</v>
      </c>
      <c r="C50" s="18" t="n">
        <f aca="false">E49</f>
        <v>0</v>
      </c>
      <c r="D50" s="18" t="n">
        <f aca="false">MIN('Market Assumptions'!$B$6,C50)</f>
        <v>0</v>
      </c>
      <c r="E50" s="18" t="n">
        <f aca="false">MAX(C50-D50,0)</f>
        <v>0</v>
      </c>
      <c r="F50" s="19" t="n">
        <f aca="false">'Market Assumptions'!$B$4*(1+'Market Assumptions'!$B$5/12)^(A50-1)</f>
        <v>0</v>
      </c>
      <c r="G50" s="19" t="n">
        <f aca="false">D50*F50</f>
        <v>0</v>
      </c>
      <c r="H50" s="4"/>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t="n">
        <v>48</v>
      </c>
      <c r="B51" s="17" t="n">
        <f aca="false">EOMONTH('Property Info'!$B$7,A51-1)</f>
        <v>47664</v>
      </c>
      <c r="C51" s="18" t="n">
        <f aca="false">E50</f>
        <v>0</v>
      </c>
      <c r="D51" s="18" t="n">
        <f aca="false">MIN('Market Assumptions'!$B$6,C51)</f>
        <v>0</v>
      </c>
      <c r="E51" s="18" t="n">
        <f aca="false">MAX(C51-D51,0)</f>
        <v>0</v>
      </c>
      <c r="F51" s="19" t="n">
        <f aca="false">'Market Assumptions'!$B$4*(1+'Market Assumptions'!$B$5/12)^(A51-1)</f>
        <v>0</v>
      </c>
      <c r="G51" s="19" t="n">
        <f aca="false">D51*F51</f>
        <v>0</v>
      </c>
      <c r="H51" s="4"/>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t="n">
        <v>49</v>
      </c>
      <c r="B52" s="17" t="n">
        <f aca="false">EOMONTH('Property Info'!$B$7,A52-1)</f>
        <v>47695</v>
      </c>
      <c r="C52" s="18" t="n">
        <f aca="false">E51</f>
        <v>0</v>
      </c>
      <c r="D52" s="18" t="n">
        <f aca="false">MIN('Market Assumptions'!$B$6,C52)</f>
        <v>0</v>
      </c>
      <c r="E52" s="18" t="n">
        <f aca="false">MAX(C52-D52,0)</f>
        <v>0</v>
      </c>
      <c r="F52" s="19" t="n">
        <f aca="false">'Market Assumptions'!$B$4*(1+'Market Assumptions'!$B$5/12)^(A52-1)</f>
        <v>0</v>
      </c>
      <c r="G52" s="19" t="n">
        <f aca="false">D52*F52</f>
        <v>0</v>
      </c>
      <c r="H52" s="4"/>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t="n">
        <v>50</v>
      </c>
      <c r="B53" s="17" t="n">
        <f aca="false">EOMONTH('Property Info'!$B$7,A53-1)</f>
        <v>47726</v>
      </c>
      <c r="C53" s="18" t="n">
        <f aca="false">E52</f>
        <v>0</v>
      </c>
      <c r="D53" s="18" t="n">
        <f aca="false">MIN('Market Assumptions'!$B$6,C53)</f>
        <v>0</v>
      </c>
      <c r="E53" s="18" t="n">
        <f aca="false">MAX(C53-D53,0)</f>
        <v>0</v>
      </c>
      <c r="F53" s="19" t="n">
        <f aca="false">'Market Assumptions'!$B$4*(1+'Market Assumptions'!$B$5/12)^(A53-1)</f>
        <v>0</v>
      </c>
      <c r="G53" s="19" t="n">
        <f aca="false">D53*F53</f>
        <v>0</v>
      </c>
      <c r="H53" s="4"/>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t="n">
        <v>51</v>
      </c>
      <c r="B54" s="17" t="n">
        <f aca="false">EOMONTH('Property Info'!$B$7,A54-1)</f>
        <v>47756</v>
      </c>
      <c r="C54" s="18" t="n">
        <f aca="false">E53</f>
        <v>0</v>
      </c>
      <c r="D54" s="18" t="n">
        <f aca="false">MIN('Market Assumptions'!$B$6,C54)</f>
        <v>0</v>
      </c>
      <c r="E54" s="18" t="n">
        <f aca="false">MAX(C54-D54,0)</f>
        <v>0</v>
      </c>
      <c r="F54" s="19" t="n">
        <f aca="false">'Market Assumptions'!$B$4*(1+'Market Assumptions'!$B$5/12)^(A54-1)</f>
        <v>0</v>
      </c>
      <c r="G54" s="19" t="n">
        <f aca="false">D54*F54</f>
        <v>0</v>
      </c>
      <c r="H54" s="4"/>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t="n">
        <v>52</v>
      </c>
      <c r="B55" s="17" t="n">
        <f aca="false">EOMONTH('Property Info'!$B$7,A55-1)</f>
        <v>47787</v>
      </c>
      <c r="C55" s="18" t="n">
        <f aca="false">E54</f>
        <v>0</v>
      </c>
      <c r="D55" s="18" t="n">
        <f aca="false">MIN('Market Assumptions'!$B$6,C55)</f>
        <v>0</v>
      </c>
      <c r="E55" s="18" t="n">
        <f aca="false">MAX(C55-D55,0)</f>
        <v>0</v>
      </c>
      <c r="F55" s="19" t="n">
        <f aca="false">'Market Assumptions'!$B$4*(1+'Market Assumptions'!$B$5/12)^(A55-1)</f>
        <v>0</v>
      </c>
      <c r="G55" s="19" t="n">
        <f aca="false">D55*F55</f>
        <v>0</v>
      </c>
      <c r="H55" s="4"/>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t="n">
        <v>53</v>
      </c>
      <c r="B56" s="17" t="n">
        <f aca="false">EOMONTH('Property Info'!$B$7,A56-1)</f>
        <v>47817</v>
      </c>
      <c r="C56" s="18" t="n">
        <f aca="false">E55</f>
        <v>0</v>
      </c>
      <c r="D56" s="18" t="n">
        <f aca="false">MIN('Market Assumptions'!$B$6,C56)</f>
        <v>0</v>
      </c>
      <c r="E56" s="18" t="n">
        <f aca="false">MAX(C56-D56,0)</f>
        <v>0</v>
      </c>
      <c r="F56" s="19" t="n">
        <f aca="false">'Market Assumptions'!$B$4*(1+'Market Assumptions'!$B$5/12)^(A56-1)</f>
        <v>0</v>
      </c>
      <c r="G56" s="19" t="n">
        <f aca="false">D56*F56</f>
        <v>0</v>
      </c>
      <c r="H56" s="4"/>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t="n">
        <v>54</v>
      </c>
      <c r="B57" s="17" t="n">
        <f aca="false">EOMONTH('Property Info'!$B$7,A57-1)</f>
        <v>47848</v>
      </c>
      <c r="C57" s="18" t="n">
        <f aca="false">E56</f>
        <v>0</v>
      </c>
      <c r="D57" s="18" t="n">
        <f aca="false">MIN('Market Assumptions'!$B$6,C57)</f>
        <v>0</v>
      </c>
      <c r="E57" s="18" t="n">
        <f aca="false">MAX(C57-D57,0)</f>
        <v>0</v>
      </c>
      <c r="F57" s="19" t="n">
        <f aca="false">'Market Assumptions'!$B$4*(1+'Market Assumptions'!$B$5/12)^(A57-1)</f>
        <v>0</v>
      </c>
      <c r="G57" s="19" t="n">
        <f aca="false">D57*F57</f>
        <v>0</v>
      </c>
      <c r="H57" s="4"/>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t="n">
        <v>55</v>
      </c>
      <c r="B58" s="17" t="n">
        <f aca="false">EOMONTH('Property Info'!$B$7,A58-1)</f>
        <v>47879</v>
      </c>
      <c r="C58" s="18" t="n">
        <f aca="false">E57</f>
        <v>0</v>
      </c>
      <c r="D58" s="18" t="n">
        <f aca="false">MIN('Market Assumptions'!$B$6,C58)</f>
        <v>0</v>
      </c>
      <c r="E58" s="18" t="n">
        <f aca="false">MAX(C58-D58,0)</f>
        <v>0</v>
      </c>
      <c r="F58" s="19" t="n">
        <f aca="false">'Market Assumptions'!$B$4*(1+'Market Assumptions'!$B$5/12)^(A58-1)</f>
        <v>0</v>
      </c>
      <c r="G58" s="19" t="n">
        <f aca="false">D58*F58</f>
        <v>0</v>
      </c>
      <c r="H58" s="4"/>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t="n">
        <v>56</v>
      </c>
      <c r="B59" s="17" t="n">
        <f aca="false">EOMONTH('Property Info'!$B$7,A59-1)</f>
        <v>47907</v>
      </c>
      <c r="C59" s="18" t="n">
        <f aca="false">E58</f>
        <v>0</v>
      </c>
      <c r="D59" s="18" t="n">
        <f aca="false">MIN('Market Assumptions'!$B$6,C59)</f>
        <v>0</v>
      </c>
      <c r="E59" s="18" t="n">
        <f aca="false">MAX(C59-D59,0)</f>
        <v>0</v>
      </c>
      <c r="F59" s="19" t="n">
        <f aca="false">'Market Assumptions'!$B$4*(1+'Market Assumptions'!$B$5/12)^(A59-1)</f>
        <v>0</v>
      </c>
      <c r="G59" s="19" t="n">
        <f aca="false">D59*F59</f>
        <v>0</v>
      </c>
      <c r="H59" s="4"/>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t="n">
        <v>57</v>
      </c>
      <c r="B60" s="17" t="n">
        <f aca="false">EOMONTH('Property Info'!$B$7,A60-1)</f>
        <v>47938</v>
      </c>
      <c r="C60" s="18" t="n">
        <f aca="false">E59</f>
        <v>0</v>
      </c>
      <c r="D60" s="18" t="n">
        <f aca="false">MIN('Market Assumptions'!$B$6,C60)</f>
        <v>0</v>
      </c>
      <c r="E60" s="18" t="n">
        <f aca="false">MAX(C60-D60,0)</f>
        <v>0</v>
      </c>
      <c r="F60" s="19" t="n">
        <f aca="false">'Market Assumptions'!$B$4*(1+'Market Assumptions'!$B$5/12)^(A60-1)</f>
        <v>0</v>
      </c>
      <c r="G60" s="19" t="n">
        <f aca="false">D60*F60</f>
        <v>0</v>
      </c>
      <c r="H60" s="4"/>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t="n">
        <v>58</v>
      </c>
      <c r="B61" s="17" t="n">
        <f aca="false">EOMONTH('Property Info'!$B$7,A61-1)</f>
        <v>47968</v>
      </c>
      <c r="C61" s="18" t="n">
        <f aca="false">E60</f>
        <v>0</v>
      </c>
      <c r="D61" s="18" t="n">
        <f aca="false">MIN('Market Assumptions'!$B$6,C61)</f>
        <v>0</v>
      </c>
      <c r="E61" s="18" t="n">
        <f aca="false">MAX(C61-D61,0)</f>
        <v>0</v>
      </c>
      <c r="F61" s="19" t="n">
        <f aca="false">'Market Assumptions'!$B$4*(1+'Market Assumptions'!$B$5/12)^(A61-1)</f>
        <v>0</v>
      </c>
      <c r="G61" s="19" t="n">
        <f aca="false">D61*F61</f>
        <v>0</v>
      </c>
      <c r="H61" s="4"/>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t="n">
        <v>59</v>
      </c>
      <c r="B62" s="17" t="n">
        <f aca="false">EOMONTH('Property Info'!$B$7,A62-1)</f>
        <v>47999</v>
      </c>
      <c r="C62" s="18" t="n">
        <f aca="false">E61</f>
        <v>0</v>
      </c>
      <c r="D62" s="18" t="n">
        <f aca="false">MIN('Market Assumptions'!$B$6,C62)</f>
        <v>0</v>
      </c>
      <c r="E62" s="18" t="n">
        <f aca="false">MAX(C62-D62,0)</f>
        <v>0</v>
      </c>
      <c r="F62" s="19" t="n">
        <f aca="false">'Market Assumptions'!$B$4*(1+'Market Assumptions'!$B$5/12)^(A62-1)</f>
        <v>0</v>
      </c>
      <c r="G62" s="19" t="n">
        <f aca="false">D62*F62</f>
        <v>0</v>
      </c>
      <c r="H62" s="4"/>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t="n">
        <v>60</v>
      </c>
      <c r="B63" s="17" t="n">
        <f aca="false">EOMONTH('Property Info'!$B$7,A63-1)</f>
        <v>48029</v>
      </c>
      <c r="C63" s="18" t="n">
        <f aca="false">E62</f>
        <v>0</v>
      </c>
      <c r="D63" s="18" t="n">
        <f aca="false">MIN('Market Assumptions'!$B$6,C63)</f>
        <v>0</v>
      </c>
      <c r="E63" s="18" t="n">
        <f aca="false">MAX(C63-D63,0)</f>
        <v>0</v>
      </c>
      <c r="F63" s="19" t="n">
        <f aca="false">'Market Assumptions'!$B$4*(1+'Market Assumptions'!$B$5/12)^(A63-1)</f>
        <v>0</v>
      </c>
      <c r="G63" s="19" t="n">
        <f aca="false">D63*F63</f>
        <v>0</v>
      </c>
      <c r="H63" s="4"/>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1" min="2" style="0" width="11"/>
  </cols>
  <sheetData>
    <row r="1" customFormat="false" ht="30" hidden="false" customHeight="true" outlineLevel="0" collapsed="false">
      <c r="A1" s="1" t="s">
        <v>163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164</v>
      </c>
      <c r="B3" s="8" t="n">
        <v>1</v>
      </c>
      <c r="C3" s="8" t="n">
        <v>2</v>
      </c>
      <c r="D3" s="8" t="n">
        <v>3</v>
      </c>
      <c r="E3" s="8" t="n">
        <v>4</v>
      </c>
      <c r="F3" s="8" t="n">
        <v>5</v>
      </c>
      <c r="G3" s="8" t="n">
        <v>6</v>
      </c>
      <c r="H3" s="8" t="n">
        <v>7</v>
      </c>
      <c r="I3" s="8" t="n">
        <v>8</v>
      </c>
      <c r="J3" s="8" t="n">
        <v>9</v>
      </c>
      <c r="K3" s="8" t="n">
        <v>10</v>
      </c>
      <c r="L3" s="8" t="n">
        <v>11</v>
      </c>
      <c r="M3" s="8" t="n">
        <v>12</v>
      </c>
      <c r="N3" s="8" t="n">
        <v>13</v>
      </c>
      <c r="O3" s="8" t="n">
        <v>14</v>
      </c>
      <c r="P3" s="8" t="n">
        <v>15</v>
      </c>
      <c r="Q3" s="8" t="n">
        <v>16</v>
      </c>
      <c r="R3" s="8" t="n">
        <v>17</v>
      </c>
      <c r="S3" s="8" t="n">
        <v>18</v>
      </c>
      <c r="T3" s="8" t="n">
        <v>19</v>
      </c>
      <c r="U3" s="8" t="n">
        <v>20</v>
      </c>
      <c r="V3" s="8" t="n">
        <v>21</v>
      </c>
      <c r="W3" s="8" t="n">
        <v>22</v>
      </c>
      <c r="X3" s="8" t="n">
        <v>23</v>
      </c>
      <c r="Y3" s="8" t="n">
        <v>24</v>
      </c>
      <c r="Z3" s="8" t="n">
        <v>25</v>
      </c>
      <c r="AA3" s="8" t="n">
        <v>26</v>
      </c>
      <c r="AB3" s="8" t="n">
        <v>27</v>
      </c>
      <c r="AC3" s="8" t="n">
        <v>28</v>
      </c>
      <c r="AD3" s="8" t="n">
        <v>29</v>
      </c>
      <c r="AE3" s="8" t="n">
        <v>30</v>
      </c>
      <c r="AF3" s="8" t="n">
        <v>31</v>
      </c>
      <c r="AG3" s="8" t="n">
        <v>32</v>
      </c>
      <c r="AH3" s="8" t="n">
        <v>33</v>
      </c>
      <c r="AI3" s="8" t="n">
        <v>34</v>
      </c>
      <c r="AJ3" s="8" t="n">
        <v>35</v>
      </c>
      <c r="AK3" s="8" t="n">
        <v>36</v>
      </c>
      <c r="AL3" s="8" t="n">
        <v>37</v>
      </c>
      <c r="AM3" s="8" t="n">
        <v>38</v>
      </c>
      <c r="AN3" s="8" t="n">
        <v>39</v>
      </c>
      <c r="AO3" s="8" t="n">
        <v>40</v>
      </c>
      <c r="AP3" s="8" t="n">
        <v>41</v>
      </c>
      <c r="AQ3" s="8" t="n">
        <v>42</v>
      </c>
      <c r="AR3" s="8" t="n">
        <v>43</v>
      </c>
      <c r="AS3" s="8" t="n">
        <v>44</v>
      </c>
      <c r="AT3" s="8" t="n">
        <v>45</v>
      </c>
      <c r="AU3" s="8" t="n">
        <v>46</v>
      </c>
      <c r="AV3" s="8" t="n">
        <v>47</v>
      </c>
      <c r="AW3" s="8" t="n">
        <v>48</v>
      </c>
      <c r="AX3" s="8" t="n">
        <v>49</v>
      </c>
      <c r="AY3" s="8" t="n">
        <v>50</v>
      </c>
      <c r="AZ3" s="8" t="n">
        <v>51</v>
      </c>
      <c r="BA3" s="8" t="n">
        <v>52</v>
      </c>
      <c r="BB3" s="8" t="n">
        <v>53</v>
      </c>
      <c r="BC3" s="8" t="n">
        <v>54</v>
      </c>
      <c r="BD3" s="8" t="n">
        <v>55</v>
      </c>
      <c r="BE3" s="8" t="n">
        <v>56</v>
      </c>
      <c r="BF3" s="8" t="n">
        <v>57</v>
      </c>
      <c r="BG3" s="8" t="n">
        <v>58</v>
      </c>
      <c r="BH3" s="8" t="n">
        <v>59</v>
      </c>
      <c r="BI3" s="8" t="n">
        <v>60</v>
      </c>
    </row>
    <row r="4" customFormat="false" ht="15" hidden="false" customHeight="false" outlineLevel="0" collapsed="false">
      <c r="A4" s="20" t="s">
        <v>161</v>
      </c>
      <c r="B4" s="19" t="n">
        <f aca="false">'Absorption Schedule'!G4</f>
        <v>0</v>
      </c>
      <c r="C4" s="19" t="n">
        <f aca="false">'Absorption Schedule'!G5</f>
        <v>0</v>
      </c>
      <c r="D4" s="19" t="n">
        <f aca="false">'Absorption Schedule'!G6</f>
        <v>0</v>
      </c>
      <c r="E4" s="19" t="n">
        <f aca="false">'Absorption Schedule'!G7</f>
        <v>0</v>
      </c>
      <c r="F4" s="19" t="n">
        <f aca="false">'Absorption Schedule'!G8</f>
        <v>0</v>
      </c>
      <c r="G4" s="19" t="n">
        <f aca="false">'Absorption Schedule'!G9</f>
        <v>0</v>
      </c>
      <c r="H4" s="19" t="n">
        <f aca="false">'Absorption Schedule'!G10</f>
        <v>0</v>
      </c>
      <c r="I4" s="19" t="n">
        <f aca="false">'Absorption Schedule'!G11</f>
        <v>0</v>
      </c>
      <c r="J4" s="19" t="n">
        <f aca="false">'Absorption Schedule'!G12</f>
        <v>0</v>
      </c>
      <c r="K4" s="19" t="n">
        <f aca="false">'Absorption Schedule'!G13</f>
        <v>0</v>
      </c>
      <c r="L4" s="19" t="n">
        <f aca="false">'Absorption Schedule'!G14</f>
        <v>0</v>
      </c>
      <c r="M4" s="19" t="n">
        <f aca="false">'Absorption Schedule'!G15</f>
        <v>0</v>
      </c>
      <c r="N4" s="19" t="n">
        <f aca="false">'Absorption Schedule'!G16</f>
        <v>0</v>
      </c>
      <c r="O4" s="19" t="n">
        <f aca="false">'Absorption Schedule'!G17</f>
        <v>0</v>
      </c>
      <c r="P4" s="19" t="n">
        <f aca="false">'Absorption Schedule'!G18</f>
        <v>0</v>
      </c>
      <c r="Q4" s="19" t="n">
        <f aca="false">'Absorption Schedule'!G19</f>
        <v>0</v>
      </c>
      <c r="R4" s="19" t="n">
        <f aca="false">'Absorption Schedule'!G20</f>
        <v>0</v>
      </c>
      <c r="S4" s="19" t="n">
        <f aca="false">'Absorption Schedule'!G21</f>
        <v>0</v>
      </c>
      <c r="T4" s="19" t="n">
        <f aca="false">'Absorption Schedule'!G22</f>
        <v>0</v>
      </c>
      <c r="U4" s="19" t="n">
        <f aca="false">'Absorption Schedule'!G23</f>
        <v>0</v>
      </c>
      <c r="V4" s="19" t="n">
        <f aca="false">'Absorption Schedule'!G24</f>
        <v>0</v>
      </c>
      <c r="W4" s="19" t="n">
        <f aca="false">'Absorption Schedule'!G25</f>
        <v>0</v>
      </c>
      <c r="X4" s="19" t="n">
        <f aca="false">'Absorption Schedule'!G26</f>
        <v>0</v>
      </c>
      <c r="Y4" s="19" t="n">
        <f aca="false">'Absorption Schedule'!G27</f>
        <v>0</v>
      </c>
      <c r="Z4" s="19" t="n">
        <f aca="false">'Absorption Schedule'!G28</f>
        <v>0</v>
      </c>
      <c r="AA4" s="19" t="n">
        <f aca="false">'Absorption Schedule'!G29</f>
        <v>0</v>
      </c>
      <c r="AB4" s="19" t="n">
        <f aca="false">'Absorption Schedule'!G30</f>
        <v>0</v>
      </c>
      <c r="AC4" s="19" t="n">
        <f aca="false">'Absorption Schedule'!G31</f>
        <v>0</v>
      </c>
      <c r="AD4" s="19" t="n">
        <f aca="false">'Absorption Schedule'!G32</f>
        <v>0</v>
      </c>
      <c r="AE4" s="19" t="n">
        <f aca="false">'Absorption Schedule'!G33</f>
        <v>0</v>
      </c>
      <c r="AF4" s="19" t="n">
        <f aca="false">'Absorption Schedule'!G34</f>
        <v>0</v>
      </c>
      <c r="AG4" s="19" t="n">
        <f aca="false">'Absorption Schedule'!G35</f>
        <v>0</v>
      </c>
      <c r="AH4" s="19" t="n">
        <f aca="false">'Absorption Schedule'!G36</f>
        <v>0</v>
      </c>
      <c r="AI4" s="19" t="n">
        <f aca="false">'Absorption Schedule'!G37</f>
        <v>0</v>
      </c>
      <c r="AJ4" s="19" t="n">
        <f aca="false">'Absorption Schedule'!G38</f>
        <v>0</v>
      </c>
      <c r="AK4" s="19" t="n">
        <f aca="false">'Absorption Schedule'!G39</f>
        <v>0</v>
      </c>
      <c r="AL4" s="19" t="n">
        <f aca="false">'Absorption Schedule'!G40</f>
        <v>0</v>
      </c>
      <c r="AM4" s="19" t="n">
        <f aca="false">'Absorption Schedule'!G41</f>
        <v>0</v>
      </c>
      <c r="AN4" s="19" t="n">
        <f aca="false">'Absorption Schedule'!G42</f>
        <v>0</v>
      </c>
      <c r="AO4" s="19" t="n">
        <f aca="false">'Absorption Schedule'!G43</f>
        <v>0</v>
      </c>
      <c r="AP4" s="19" t="n">
        <f aca="false">'Absorption Schedule'!G44</f>
        <v>0</v>
      </c>
      <c r="AQ4" s="19" t="n">
        <f aca="false">'Absorption Schedule'!G45</f>
        <v>0</v>
      </c>
      <c r="AR4" s="19" t="n">
        <f aca="false">'Absorption Schedule'!G46</f>
        <v>0</v>
      </c>
      <c r="AS4" s="19" t="n">
        <f aca="false">'Absorption Schedule'!G47</f>
        <v>0</v>
      </c>
      <c r="AT4" s="19" t="n">
        <f aca="false">'Absorption Schedule'!G48</f>
        <v>0</v>
      </c>
      <c r="AU4" s="19" t="n">
        <f aca="false">'Absorption Schedule'!G49</f>
        <v>0</v>
      </c>
      <c r="AV4" s="19" t="n">
        <f aca="false">'Absorption Schedule'!G50</f>
        <v>0</v>
      </c>
      <c r="AW4" s="19" t="n">
        <f aca="false">'Absorption Schedule'!G51</f>
        <v>0</v>
      </c>
      <c r="AX4" s="19" t="n">
        <f aca="false">'Absorption Schedule'!G52</f>
        <v>0</v>
      </c>
      <c r="AY4" s="19" t="n">
        <f aca="false">'Absorption Schedule'!G53</f>
        <v>0</v>
      </c>
      <c r="AZ4" s="19" t="n">
        <f aca="false">'Absorption Schedule'!G54</f>
        <v>0</v>
      </c>
      <c r="BA4" s="19" t="n">
        <f aca="false">'Absorption Schedule'!G55</f>
        <v>0</v>
      </c>
      <c r="BB4" s="19" t="n">
        <f aca="false">'Absorption Schedule'!G56</f>
        <v>0</v>
      </c>
      <c r="BC4" s="19" t="n">
        <f aca="false">'Absorption Schedule'!G57</f>
        <v>0</v>
      </c>
      <c r="BD4" s="19" t="n">
        <f aca="false">'Absorption Schedule'!G58</f>
        <v>0</v>
      </c>
      <c r="BE4" s="19" t="n">
        <f aca="false">'Absorption Schedule'!G59</f>
        <v>0</v>
      </c>
      <c r="BF4" s="19" t="n">
        <f aca="false">'Absorption Schedule'!G60</f>
        <v>0</v>
      </c>
      <c r="BG4" s="19" t="n">
        <f aca="false">'Absorption Schedule'!G61</f>
        <v>0</v>
      </c>
      <c r="BH4" s="19" t="n">
        <f aca="false">'Absorption Schedule'!G62</f>
        <v>0</v>
      </c>
      <c r="BI4" s="19" t="n">
        <f aca="false">'Absorption Schedule'!G63</f>
        <v>0</v>
      </c>
    </row>
    <row r="5" customFormat="false" ht="15" hidden="false" customHeight="false" outlineLevel="0" collapsed="false">
      <c r="A5" s="20" t="s">
        <v>103</v>
      </c>
      <c r="B5" s="19" t="n">
        <f aca="false">IF(B$3&lt;='Market Assumptions'!$B$10,'Development Costs'!$B$14/'Market Assumptions'!$B$10,0)</f>
        <v>0</v>
      </c>
      <c r="C5" s="19" t="n">
        <f aca="false">IF(C$3&lt;='Market Assumptions'!$B$10,'Development Costs'!$B$14/'Market Assumptions'!$B$10,0)</f>
        <v>0</v>
      </c>
      <c r="D5" s="19" t="n">
        <f aca="false">IF(D$3&lt;='Market Assumptions'!$B$10,'Development Costs'!$B$14/'Market Assumptions'!$B$10,0)</f>
        <v>0</v>
      </c>
      <c r="E5" s="19" t="n">
        <f aca="false">IF(E$3&lt;='Market Assumptions'!$B$10,'Development Costs'!$B$14/'Market Assumptions'!$B$10,0)</f>
        <v>0</v>
      </c>
      <c r="F5" s="19" t="n">
        <f aca="false">IF(F$3&lt;='Market Assumptions'!$B$10,'Development Costs'!$B$14/'Market Assumptions'!$B$10,0)</f>
        <v>0</v>
      </c>
      <c r="G5" s="19" t="n">
        <f aca="false">IF(G$3&lt;='Market Assumptions'!$B$10,'Development Costs'!$B$14/'Market Assumptions'!$B$10,0)</f>
        <v>0</v>
      </c>
      <c r="H5" s="19" t="n">
        <f aca="false">IF(H$3&lt;='Market Assumptions'!$B$10,'Development Costs'!$B$14/'Market Assumptions'!$B$10,0)</f>
        <v>0</v>
      </c>
      <c r="I5" s="19" t="n">
        <f aca="false">IF(I$3&lt;='Market Assumptions'!$B$10,'Development Costs'!$B$14/'Market Assumptions'!$B$10,0)</f>
        <v>0</v>
      </c>
      <c r="J5" s="19" t="n">
        <f aca="false">IF(J$3&lt;='Market Assumptions'!$B$10,'Development Costs'!$B$14/'Market Assumptions'!$B$10,0)</f>
        <v>0</v>
      </c>
      <c r="K5" s="19" t="n">
        <f aca="false">IF(K$3&lt;='Market Assumptions'!$B$10,'Development Costs'!$B$14/'Market Assumptions'!$B$10,0)</f>
        <v>0</v>
      </c>
      <c r="L5" s="19" t="n">
        <f aca="false">IF(L$3&lt;='Market Assumptions'!$B$10,'Development Costs'!$B$14/'Market Assumptions'!$B$10,0)</f>
        <v>0</v>
      </c>
      <c r="M5" s="19" t="n">
        <f aca="false">IF(M$3&lt;='Market Assumptions'!$B$10,'Development Costs'!$B$14/'Market Assumptions'!$B$10,0)</f>
        <v>0</v>
      </c>
      <c r="N5" s="19" t="n">
        <f aca="false">IF(N$3&lt;='Market Assumptions'!$B$10,'Development Costs'!$B$14/'Market Assumptions'!$B$10,0)</f>
        <v>0</v>
      </c>
      <c r="O5" s="19" t="n">
        <f aca="false">IF(O$3&lt;='Market Assumptions'!$B$10,'Development Costs'!$B$14/'Market Assumptions'!$B$10,0)</f>
        <v>0</v>
      </c>
      <c r="P5" s="19" t="n">
        <f aca="false">IF(P$3&lt;='Market Assumptions'!$B$10,'Development Costs'!$B$14/'Market Assumptions'!$B$10,0)</f>
        <v>0</v>
      </c>
      <c r="Q5" s="19" t="n">
        <f aca="false">IF(Q$3&lt;='Market Assumptions'!$B$10,'Development Costs'!$B$14/'Market Assumptions'!$B$10,0)</f>
        <v>0</v>
      </c>
      <c r="R5" s="19" t="n">
        <f aca="false">IF(R$3&lt;='Market Assumptions'!$B$10,'Development Costs'!$B$14/'Market Assumptions'!$B$10,0)</f>
        <v>0</v>
      </c>
      <c r="S5" s="19" t="n">
        <f aca="false">IF(S$3&lt;='Market Assumptions'!$B$10,'Development Costs'!$B$14/'Market Assumptions'!$B$10,0)</f>
        <v>0</v>
      </c>
      <c r="T5" s="19" t="n">
        <f aca="false">IF(T$3&lt;='Market Assumptions'!$B$10,'Development Costs'!$B$14/'Market Assumptions'!$B$10,0)</f>
        <v>0</v>
      </c>
      <c r="U5" s="19" t="n">
        <f aca="false">IF(U$3&lt;='Market Assumptions'!$B$10,'Development Costs'!$B$14/'Market Assumptions'!$B$10,0)</f>
        <v>0</v>
      </c>
      <c r="V5" s="19" t="n">
        <f aca="false">IF(V$3&lt;='Market Assumptions'!$B$10,'Development Costs'!$B$14/'Market Assumptions'!$B$10,0)</f>
        <v>0</v>
      </c>
      <c r="W5" s="19" t="n">
        <f aca="false">IF(W$3&lt;='Market Assumptions'!$B$10,'Development Costs'!$B$14/'Market Assumptions'!$B$10,0)</f>
        <v>0</v>
      </c>
      <c r="X5" s="19" t="n">
        <f aca="false">IF(X$3&lt;='Market Assumptions'!$B$10,'Development Costs'!$B$14/'Market Assumptions'!$B$10,0)</f>
        <v>0</v>
      </c>
      <c r="Y5" s="19" t="n">
        <f aca="false">IF(Y$3&lt;='Market Assumptions'!$B$10,'Development Costs'!$B$14/'Market Assumptions'!$B$10,0)</f>
        <v>0</v>
      </c>
      <c r="Z5" s="19" t="n">
        <f aca="false">IF(Z$3&lt;='Market Assumptions'!$B$10,'Development Costs'!$B$14/'Market Assumptions'!$B$10,0)</f>
        <v>0</v>
      </c>
      <c r="AA5" s="19" t="n">
        <f aca="false">IF(AA$3&lt;='Market Assumptions'!$B$10,'Development Costs'!$B$14/'Market Assumptions'!$B$10,0)</f>
        <v>0</v>
      </c>
      <c r="AB5" s="19" t="n">
        <f aca="false">IF(AB$3&lt;='Market Assumptions'!$B$10,'Development Costs'!$B$14/'Market Assumptions'!$B$10,0)</f>
        <v>0</v>
      </c>
      <c r="AC5" s="19" t="n">
        <f aca="false">IF(AC$3&lt;='Market Assumptions'!$B$10,'Development Costs'!$B$14/'Market Assumptions'!$B$10,0)</f>
        <v>0</v>
      </c>
      <c r="AD5" s="19" t="n">
        <f aca="false">IF(AD$3&lt;='Market Assumptions'!$B$10,'Development Costs'!$B$14/'Market Assumptions'!$B$10,0)</f>
        <v>0</v>
      </c>
      <c r="AE5" s="19" t="n">
        <f aca="false">IF(AE$3&lt;='Market Assumptions'!$B$10,'Development Costs'!$B$14/'Market Assumptions'!$B$10,0)</f>
        <v>0</v>
      </c>
      <c r="AF5" s="19" t="n">
        <f aca="false">IF(AF$3&lt;='Market Assumptions'!$B$10,'Development Costs'!$B$14/'Market Assumptions'!$B$10,0)</f>
        <v>0</v>
      </c>
      <c r="AG5" s="19" t="n">
        <f aca="false">IF(AG$3&lt;='Market Assumptions'!$B$10,'Development Costs'!$B$14/'Market Assumptions'!$B$10,0)</f>
        <v>0</v>
      </c>
      <c r="AH5" s="19" t="n">
        <f aca="false">IF(AH$3&lt;='Market Assumptions'!$B$10,'Development Costs'!$B$14/'Market Assumptions'!$B$10,0)</f>
        <v>0</v>
      </c>
      <c r="AI5" s="19" t="n">
        <f aca="false">IF(AI$3&lt;='Market Assumptions'!$B$10,'Development Costs'!$B$14/'Market Assumptions'!$B$10,0)</f>
        <v>0</v>
      </c>
      <c r="AJ5" s="19" t="n">
        <f aca="false">IF(AJ$3&lt;='Market Assumptions'!$B$10,'Development Costs'!$B$14/'Market Assumptions'!$B$10,0)</f>
        <v>0</v>
      </c>
      <c r="AK5" s="19" t="n">
        <f aca="false">IF(AK$3&lt;='Market Assumptions'!$B$10,'Development Costs'!$B$14/'Market Assumptions'!$B$10,0)</f>
        <v>0</v>
      </c>
      <c r="AL5" s="19" t="n">
        <f aca="false">IF(AL$3&lt;='Market Assumptions'!$B$10,'Development Costs'!$B$14/'Market Assumptions'!$B$10,0)</f>
        <v>0</v>
      </c>
      <c r="AM5" s="19" t="n">
        <f aca="false">IF(AM$3&lt;='Market Assumptions'!$B$10,'Development Costs'!$B$14/'Market Assumptions'!$B$10,0)</f>
        <v>0</v>
      </c>
      <c r="AN5" s="19" t="n">
        <f aca="false">IF(AN$3&lt;='Market Assumptions'!$B$10,'Development Costs'!$B$14/'Market Assumptions'!$B$10,0)</f>
        <v>0</v>
      </c>
      <c r="AO5" s="19" t="n">
        <f aca="false">IF(AO$3&lt;='Market Assumptions'!$B$10,'Development Costs'!$B$14/'Market Assumptions'!$B$10,0)</f>
        <v>0</v>
      </c>
      <c r="AP5" s="19" t="n">
        <f aca="false">IF(AP$3&lt;='Market Assumptions'!$B$10,'Development Costs'!$B$14/'Market Assumptions'!$B$10,0)</f>
        <v>0</v>
      </c>
      <c r="AQ5" s="19" t="n">
        <f aca="false">IF(AQ$3&lt;='Market Assumptions'!$B$10,'Development Costs'!$B$14/'Market Assumptions'!$B$10,0)</f>
        <v>0</v>
      </c>
      <c r="AR5" s="19" t="n">
        <f aca="false">IF(AR$3&lt;='Market Assumptions'!$B$10,'Development Costs'!$B$14/'Market Assumptions'!$B$10,0)</f>
        <v>0</v>
      </c>
      <c r="AS5" s="19" t="n">
        <f aca="false">IF(AS$3&lt;='Market Assumptions'!$B$10,'Development Costs'!$B$14/'Market Assumptions'!$B$10,0)</f>
        <v>0</v>
      </c>
      <c r="AT5" s="19" t="n">
        <f aca="false">IF(AT$3&lt;='Market Assumptions'!$B$10,'Development Costs'!$B$14/'Market Assumptions'!$B$10,0)</f>
        <v>0</v>
      </c>
      <c r="AU5" s="19" t="n">
        <f aca="false">IF(AU$3&lt;='Market Assumptions'!$B$10,'Development Costs'!$B$14/'Market Assumptions'!$B$10,0)</f>
        <v>0</v>
      </c>
      <c r="AV5" s="19" t="n">
        <f aca="false">IF(AV$3&lt;='Market Assumptions'!$B$10,'Development Costs'!$B$14/'Market Assumptions'!$B$10,0)</f>
        <v>0</v>
      </c>
      <c r="AW5" s="19" t="n">
        <f aca="false">IF(AW$3&lt;='Market Assumptions'!$B$10,'Development Costs'!$B$14/'Market Assumptions'!$B$10,0)</f>
        <v>0</v>
      </c>
      <c r="AX5" s="19" t="n">
        <f aca="false">IF(AX$3&lt;='Market Assumptions'!$B$10,'Development Costs'!$B$14/'Market Assumptions'!$B$10,0)</f>
        <v>0</v>
      </c>
      <c r="AY5" s="19" t="n">
        <f aca="false">IF(AY$3&lt;='Market Assumptions'!$B$10,'Development Costs'!$B$14/'Market Assumptions'!$B$10,0)</f>
        <v>0</v>
      </c>
      <c r="AZ5" s="19" t="n">
        <f aca="false">IF(AZ$3&lt;='Market Assumptions'!$B$10,'Development Costs'!$B$14/'Market Assumptions'!$B$10,0)</f>
        <v>0</v>
      </c>
      <c r="BA5" s="19" t="n">
        <f aca="false">IF(BA$3&lt;='Market Assumptions'!$B$10,'Development Costs'!$B$14/'Market Assumptions'!$B$10,0)</f>
        <v>0</v>
      </c>
      <c r="BB5" s="19" t="n">
        <f aca="false">IF(BB$3&lt;='Market Assumptions'!$B$10,'Development Costs'!$B$14/'Market Assumptions'!$B$10,0)</f>
        <v>0</v>
      </c>
      <c r="BC5" s="19" t="n">
        <f aca="false">IF(BC$3&lt;='Market Assumptions'!$B$10,'Development Costs'!$B$14/'Market Assumptions'!$B$10,0)</f>
        <v>0</v>
      </c>
      <c r="BD5" s="19" t="n">
        <f aca="false">IF(BD$3&lt;='Market Assumptions'!$B$10,'Development Costs'!$B$14/'Market Assumptions'!$B$10,0)</f>
        <v>0</v>
      </c>
      <c r="BE5" s="19" t="n">
        <f aca="false">IF(BE$3&lt;='Market Assumptions'!$B$10,'Development Costs'!$B$14/'Market Assumptions'!$B$10,0)</f>
        <v>0</v>
      </c>
      <c r="BF5" s="19" t="n">
        <f aca="false">IF(BF$3&lt;='Market Assumptions'!$B$10,'Development Costs'!$B$14/'Market Assumptions'!$B$10,0)</f>
        <v>0</v>
      </c>
      <c r="BG5" s="19" t="n">
        <f aca="false">IF(BG$3&lt;='Market Assumptions'!$B$10,'Development Costs'!$B$14/'Market Assumptions'!$B$10,0)</f>
        <v>0</v>
      </c>
      <c r="BH5" s="19" t="n">
        <f aca="false">IF(BH$3&lt;='Market Assumptions'!$B$10,'Development Costs'!$B$14/'Market Assumptions'!$B$10,0)</f>
        <v>0</v>
      </c>
      <c r="BI5" s="19" t="n">
        <f aca="false">IF(BI$3&lt;='Market Assumptions'!$B$10,'Development Costs'!$B$14/'Market Assumptions'!$B$10,0)</f>
        <v>0</v>
      </c>
    </row>
    <row r="6" customFormat="false" ht="15" hidden="false" customHeight="false" outlineLevel="0" collapsed="false">
      <c r="A6" s="20" t="s">
        <v>116</v>
      </c>
      <c r="B6" s="19" t="n">
        <f aca="false">IF(B$3&lt;='Market Assumptions'!$B$11,'Development Costs'!$B$26/'Market Assumptions'!$B$11,0)</f>
        <v>0</v>
      </c>
      <c r="C6" s="19" t="n">
        <f aca="false">IF(C$3&lt;='Market Assumptions'!$B$11,'Development Costs'!$B$26/'Market Assumptions'!$B$11,0)</f>
        <v>0</v>
      </c>
      <c r="D6" s="19" t="n">
        <f aca="false">IF(D$3&lt;='Market Assumptions'!$B$11,'Development Costs'!$B$26/'Market Assumptions'!$B$11,0)</f>
        <v>0</v>
      </c>
      <c r="E6" s="19" t="n">
        <f aca="false">IF(E$3&lt;='Market Assumptions'!$B$11,'Development Costs'!$B$26/'Market Assumptions'!$B$11,0)</f>
        <v>0</v>
      </c>
      <c r="F6" s="19" t="n">
        <f aca="false">IF(F$3&lt;='Market Assumptions'!$B$11,'Development Costs'!$B$26/'Market Assumptions'!$B$11,0)</f>
        <v>0</v>
      </c>
      <c r="G6" s="19" t="n">
        <f aca="false">IF(G$3&lt;='Market Assumptions'!$B$11,'Development Costs'!$B$26/'Market Assumptions'!$B$11,0)</f>
        <v>0</v>
      </c>
      <c r="H6" s="19" t="n">
        <f aca="false">IF(H$3&lt;='Market Assumptions'!$B$11,'Development Costs'!$B$26/'Market Assumptions'!$B$11,0)</f>
        <v>0</v>
      </c>
      <c r="I6" s="19" t="n">
        <f aca="false">IF(I$3&lt;='Market Assumptions'!$B$11,'Development Costs'!$B$26/'Market Assumptions'!$B$11,0)</f>
        <v>0</v>
      </c>
      <c r="J6" s="19" t="n">
        <f aca="false">IF(J$3&lt;='Market Assumptions'!$B$11,'Development Costs'!$B$26/'Market Assumptions'!$B$11,0)</f>
        <v>0</v>
      </c>
      <c r="K6" s="19" t="n">
        <f aca="false">IF(K$3&lt;='Market Assumptions'!$B$11,'Development Costs'!$B$26/'Market Assumptions'!$B$11,0)</f>
        <v>0</v>
      </c>
      <c r="L6" s="19" t="n">
        <f aca="false">IF(L$3&lt;='Market Assumptions'!$B$11,'Development Costs'!$B$26/'Market Assumptions'!$B$11,0)</f>
        <v>0</v>
      </c>
      <c r="M6" s="19" t="n">
        <f aca="false">IF(M$3&lt;='Market Assumptions'!$B$11,'Development Costs'!$B$26/'Market Assumptions'!$B$11,0)</f>
        <v>0</v>
      </c>
      <c r="N6" s="19" t="n">
        <f aca="false">IF(N$3&lt;='Market Assumptions'!$B$11,'Development Costs'!$B$26/'Market Assumptions'!$B$11,0)</f>
        <v>0</v>
      </c>
      <c r="O6" s="19" t="n">
        <f aca="false">IF(O$3&lt;='Market Assumptions'!$B$11,'Development Costs'!$B$26/'Market Assumptions'!$B$11,0)</f>
        <v>0</v>
      </c>
      <c r="P6" s="19" t="n">
        <f aca="false">IF(P$3&lt;='Market Assumptions'!$B$11,'Development Costs'!$B$26/'Market Assumptions'!$B$11,0)</f>
        <v>0</v>
      </c>
      <c r="Q6" s="19" t="n">
        <f aca="false">IF(Q$3&lt;='Market Assumptions'!$B$11,'Development Costs'!$B$26/'Market Assumptions'!$B$11,0)</f>
        <v>0</v>
      </c>
      <c r="R6" s="19" t="n">
        <f aca="false">IF(R$3&lt;='Market Assumptions'!$B$11,'Development Costs'!$B$26/'Market Assumptions'!$B$11,0)</f>
        <v>0</v>
      </c>
      <c r="S6" s="19" t="n">
        <f aca="false">IF(S$3&lt;='Market Assumptions'!$B$11,'Development Costs'!$B$26/'Market Assumptions'!$B$11,0)</f>
        <v>0</v>
      </c>
      <c r="T6" s="19" t="n">
        <f aca="false">IF(T$3&lt;='Market Assumptions'!$B$11,'Development Costs'!$B$26/'Market Assumptions'!$B$11,0)</f>
        <v>0</v>
      </c>
      <c r="U6" s="19" t="n">
        <f aca="false">IF(U$3&lt;='Market Assumptions'!$B$11,'Development Costs'!$B$26/'Market Assumptions'!$B$11,0)</f>
        <v>0</v>
      </c>
      <c r="V6" s="19" t="n">
        <f aca="false">IF(V$3&lt;='Market Assumptions'!$B$11,'Development Costs'!$B$26/'Market Assumptions'!$B$11,0)</f>
        <v>0</v>
      </c>
      <c r="W6" s="19" t="n">
        <f aca="false">IF(W$3&lt;='Market Assumptions'!$B$11,'Development Costs'!$B$26/'Market Assumptions'!$B$11,0)</f>
        <v>0</v>
      </c>
      <c r="X6" s="19" t="n">
        <f aca="false">IF(X$3&lt;='Market Assumptions'!$B$11,'Development Costs'!$B$26/'Market Assumptions'!$B$11,0)</f>
        <v>0</v>
      </c>
      <c r="Y6" s="19" t="n">
        <f aca="false">IF(Y$3&lt;='Market Assumptions'!$B$11,'Development Costs'!$B$26/'Market Assumptions'!$B$11,0)</f>
        <v>0</v>
      </c>
      <c r="Z6" s="19" t="n">
        <f aca="false">IF(Z$3&lt;='Market Assumptions'!$B$11,'Development Costs'!$B$26/'Market Assumptions'!$B$11,0)</f>
        <v>0</v>
      </c>
      <c r="AA6" s="19" t="n">
        <f aca="false">IF(AA$3&lt;='Market Assumptions'!$B$11,'Development Costs'!$B$26/'Market Assumptions'!$B$11,0)</f>
        <v>0</v>
      </c>
      <c r="AB6" s="19" t="n">
        <f aca="false">IF(AB$3&lt;='Market Assumptions'!$B$11,'Development Costs'!$B$26/'Market Assumptions'!$B$11,0)</f>
        <v>0</v>
      </c>
      <c r="AC6" s="19" t="n">
        <f aca="false">IF(AC$3&lt;='Market Assumptions'!$B$11,'Development Costs'!$B$26/'Market Assumptions'!$B$11,0)</f>
        <v>0</v>
      </c>
      <c r="AD6" s="19" t="n">
        <f aca="false">IF(AD$3&lt;='Market Assumptions'!$B$11,'Development Costs'!$B$26/'Market Assumptions'!$B$11,0)</f>
        <v>0</v>
      </c>
      <c r="AE6" s="19" t="n">
        <f aca="false">IF(AE$3&lt;='Market Assumptions'!$B$11,'Development Costs'!$B$26/'Market Assumptions'!$B$11,0)</f>
        <v>0</v>
      </c>
      <c r="AF6" s="19" t="n">
        <f aca="false">IF(AF$3&lt;='Market Assumptions'!$B$11,'Development Costs'!$B$26/'Market Assumptions'!$B$11,0)</f>
        <v>0</v>
      </c>
      <c r="AG6" s="19" t="n">
        <f aca="false">IF(AG$3&lt;='Market Assumptions'!$B$11,'Development Costs'!$B$26/'Market Assumptions'!$B$11,0)</f>
        <v>0</v>
      </c>
      <c r="AH6" s="19" t="n">
        <f aca="false">IF(AH$3&lt;='Market Assumptions'!$B$11,'Development Costs'!$B$26/'Market Assumptions'!$B$11,0)</f>
        <v>0</v>
      </c>
      <c r="AI6" s="19" t="n">
        <f aca="false">IF(AI$3&lt;='Market Assumptions'!$B$11,'Development Costs'!$B$26/'Market Assumptions'!$B$11,0)</f>
        <v>0</v>
      </c>
      <c r="AJ6" s="19" t="n">
        <f aca="false">IF(AJ$3&lt;='Market Assumptions'!$B$11,'Development Costs'!$B$26/'Market Assumptions'!$B$11,0)</f>
        <v>0</v>
      </c>
      <c r="AK6" s="19" t="n">
        <f aca="false">IF(AK$3&lt;='Market Assumptions'!$B$11,'Development Costs'!$B$26/'Market Assumptions'!$B$11,0)</f>
        <v>0</v>
      </c>
      <c r="AL6" s="19" t="n">
        <f aca="false">IF(AL$3&lt;='Market Assumptions'!$B$11,'Development Costs'!$B$26/'Market Assumptions'!$B$11,0)</f>
        <v>0</v>
      </c>
      <c r="AM6" s="19" t="n">
        <f aca="false">IF(AM$3&lt;='Market Assumptions'!$B$11,'Development Costs'!$B$26/'Market Assumptions'!$B$11,0)</f>
        <v>0</v>
      </c>
      <c r="AN6" s="19" t="n">
        <f aca="false">IF(AN$3&lt;='Market Assumptions'!$B$11,'Development Costs'!$B$26/'Market Assumptions'!$B$11,0)</f>
        <v>0</v>
      </c>
      <c r="AO6" s="19" t="n">
        <f aca="false">IF(AO$3&lt;='Market Assumptions'!$B$11,'Development Costs'!$B$26/'Market Assumptions'!$B$11,0)</f>
        <v>0</v>
      </c>
      <c r="AP6" s="19" t="n">
        <f aca="false">IF(AP$3&lt;='Market Assumptions'!$B$11,'Development Costs'!$B$26/'Market Assumptions'!$B$11,0)</f>
        <v>0</v>
      </c>
      <c r="AQ6" s="19" t="n">
        <f aca="false">IF(AQ$3&lt;='Market Assumptions'!$B$11,'Development Costs'!$B$26/'Market Assumptions'!$B$11,0)</f>
        <v>0</v>
      </c>
      <c r="AR6" s="19" t="n">
        <f aca="false">IF(AR$3&lt;='Market Assumptions'!$B$11,'Development Costs'!$B$26/'Market Assumptions'!$B$11,0)</f>
        <v>0</v>
      </c>
      <c r="AS6" s="19" t="n">
        <f aca="false">IF(AS$3&lt;='Market Assumptions'!$B$11,'Development Costs'!$B$26/'Market Assumptions'!$B$11,0)</f>
        <v>0</v>
      </c>
      <c r="AT6" s="19" t="n">
        <f aca="false">IF(AT$3&lt;='Market Assumptions'!$B$11,'Development Costs'!$B$26/'Market Assumptions'!$B$11,0)</f>
        <v>0</v>
      </c>
      <c r="AU6" s="19" t="n">
        <f aca="false">IF(AU$3&lt;='Market Assumptions'!$B$11,'Development Costs'!$B$26/'Market Assumptions'!$B$11,0)</f>
        <v>0</v>
      </c>
      <c r="AV6" s="19" t="n">
        <f aca="false">IF(AV$3&lt;='Market Assumptions'!$B$11,'Development Costs'!$B$26/'Market Assumptions'!$B$11,0)</f>
        <v>0</v>
      </c>
      <c r="AW6" s="19" t="n">
        <f aca="false">IF(AW$3&lt;='Market Assumptions'!$B$11,'Development Costs'!$B$26/'Market Assumptions'!$B$11,0)</f>
        <v>0</v>
      </c>
      <c r="AX6" s="19" t="n">
        <f aca="false">IF(AX$3&lt;='Market Assumptions'!$B$11,'Development Costs'!$B$26/'Market Assumptions'!$B$11,0)</f>
        <v>0</v>
      </c>
      <c r="AY6" s="19" t="n">
        <f aca="false">IF(AY$3&lt;='Market Assumptions'!$B$11,'Development Costs'!$B$26/'Market Assumptions'!$B$11,0)</f>
        <v>0</v>
      </c>
      <c r="AZ6" s="19" t="n">
        <f aca="false">IF(AZ$3&lt;='Market Assumptions'!$B$11,'Development Costs'!$B$26/'Market Assumptions'!$B$11,0)</f>
        <v>0</v>
      </c>
      <c r="BA6" s="19" t="n">
        <f aca="false">IF(BA$3&lt;='Market Assumptions'!$B$11,'Development Costs'!$B$26/'Market Assumptions'!$B$11,0)</f>
        <v>0</v>
      </c>
      <c r="BB6" s="19" t="n">
        <f aca="false">IF(BB$3&lt;='Market Assumptions'!$B$11,'Development Costs'!$B$26/'Market Assumptions'!$B$11,0)</f>
        <v>0</v>
      </c>
      <c r="BC6" s="19" t="n">
        <f aca="false">IF(BC$3&lt;='Market Assumptions'!$B$11,'Development Costs'!$B$26/'Market Assumptions'!$B$11,0)</f>
        <v>0</v>
      </c>
      <c r="BD6" s="19" t="n">
        <f aca="false">IF(BD$3&lt;='Market Assumptions'!$B$11,'Development Costs'!$B$26/'Market Assumptions'!$B$11,0)</f>
        <v>0</v>
      </c>
      <c r="BE6" s="19" t="n">
        <f aca="false">IF(BE$3&lt;='Market Assumptions'!$B$11,'Development Costs'!$B$26/'Market Assumptions'!$B$11,0)</f>
        <v>0</v>
      </c>
      <c r="BF6" s="19" t="n">
        <f aca="false">IF(BF$3&lt;='Market Assumptions'!$B$11,'Development Costs'!$B$26/'Market Assumptions'!$B$11,0)</f>
        <v>0</v>
      </c>
      <c r="BG6" s="19" t="n">
        <f aca="false">IF(BG$3&lt;='Market Assumptions'!$B$11,'Development Costs'!$B$26/'Market Assumptions'!$B$11,0)</f>
        <v>0</v>
      </c>
      <c r="BH6" s="19" t="n">
        <f aca="false">IF(BH$3&lt;='Market Assumptions'!$B$11,'Development Costs'!$B$26/'Market Assumptions'!$B$11,0)</f>
        <v>0</v>
      </c>
      <c r="BI6" s="19" t="n">
        <f aca="false">IF(BI$3&lt;='Market Assumptions'!$B$11,'Development Costs'!$B$26/'Market Assumptions'!$B$11,0)</f>
        <v>0</v>
      </c>
    </row>
    <row r="7" customFormat="false" ht="15" hidden="false" customHeight="false" outlineLevel="0" collapsed="false">
      <c r="A7" s="20" t="s">
        <v>165</v>
      </c>
      <c r="B7" s="19" t="n">
        <f aca="false">B4*'Market Assumptions'!$B$7</f>
        <v>0</v>
      </c>
      <c r="C7" s="19" t="n">
        <f aca="false">C4*'Market Assumptions'!$B$7</f>
        <v>0</v>
      </c>
      <c r="D7" s="19" t="n">
        <f aca="false">D4*'Market Assumptions'!$B$7</f>
        <v>0</v>
      </c>
      <c r="E7" s="19" t="n">
        <f aca="false">E4*'Market Assumptions'!$B$7</f>
        <v>0</v>
      </c>
      <c r="F7" s="19" t="n">
        <f aca="false">F4*'Market Assumptions'!$B$7</f>
        <v>0</v>
      </c>
      <c r="G7" s="19" t="n">
        <f aca="false">G4*'Market Assumptions'!$B$7</f>
        <v>0</v>
      </c>
      <c r="H7" s="19" t="n">
        <f aca="false">H4*'Market Assumptions'!$B$7</f>
        <v>0</v>
      </c>
      <c r="I7" s="19" t="n">
        <f aca="false">I4*'Market Assumptions'!$B$7</f>
        <v>0</v>
      </c>
      <c r="J7" s="19" t="n">
        <f aca="false">J4*'Market Assumptions'!$B$7</f>
        <v>0</v>
      </c>
      <c r="K7" s="19" t="n">
        <f aca="false">K4*'Market Assumptions'!$B$7</f>
        <v>0</v>
      </c>
      <c r="L7" s="19" t="n">
        <f aca="false">L4*'Market Assumptions'!$B$7</f>
        <v>0</v>
      </c>
      <c r="M7" s="19" t="n">
        <f aca="false">M4*'Market Assumptions'!$B$7</f>
        <v>0</v>
      </c>
      <c r="N7" s="19" t="n">
        <f aca="false">N4*'Market Assumptions'!$B$7</f>
        <v>0</v>
      </c>
      <c r="O7" s="19" t="n">
        <f aca="false">O4*'Market Assumptions'!$B$7</f>
        <v>0</v>
      </c>
      <c r="P7" s="19" t="n">
        <f aca="false">P4*'Market Assumptions'!$B$7</f>
        <v>0</v>
      </c>
      <c r="Q7" s="19" t="n">
        <f aca="false">Q4*'Market Assumptions'!$B$7</f>
        <v>0</v>
      </c>
      <c r="R7" s="19" t="n">
        <f aca="false">R4*'Market Assumptions'!$B$7</f>
        <v>0</v>
      </c>
      <c r="S7" s="19" t="n">
        <f aca="false">S4*'Market Assumptions'!$B$7</f>
        <v>0</v>
      </c>
      <c r="T7" s="19" t="n">
        <f aca="false">T4*'Market Assumptions'!$B$7</f>
        <v>0</v>
      </c>
      <c r="U7" s="19" t="n">
        <f aca="false">U4*'Market Assumptions'!$B$7</f>
        <v>0</v>
      </c>
      <c r="V7" s="19" t="n">
        <f aca="false">V4*'Market Assumptions'!$B$7</f>
        <v>0</v>
      </c>
      <c r="W7" s="19" t="n">
        <f aca="false">W4*'Market Assumptions'!$B$7</f>
        <v>0</v>
      </c>
      <c r="X7" s="19" t="n">
        <f aca="false">X4*'Market Assumptions'!$B$7</f>
        <v>0</v>
      </c>
      <c r="Y7" s="19" t="n">
        <f aca="false">Y4*'Market Assumptions'!$B$7</f>
        <v>0</v>
      </c>
      <c r="Z7" s="19" t="n">
        <f aca="false">Z4*'Market Assumptions'!$B$7</f>
        <v>0</v>
      </c>
      <c r="AA7" s="19" t="n">
        <f aca="false">AA4*'Market Assumptions'!$B$7</f>
        <v>0</v>
      </c>
      <c r="AB7" s="19" t="n">
        <f aca="false">AB4*'Market Assumptions'!$B$7</f>
        <v>0</v>
      </c>
      <c r="AC7" s="19" t="n">
        <f aca="false">AC4*'Market Assumptions'!$B$7</f>
        <v>0</v>
      </c>
      <c r="AD7" s="19" t="n">
        <f aca="false">AD4*'Market Assumptions'!$B$7</f>
        <v>0</v>
      </c>
      <c r="AE7" s="19" t="n">
        <f aca="false">AE4*'Market Assumptions'!$B$7</f>
        <v>0</v>
      </c>
      <c r="AF7" s="19" t="n">
        <f aca="false">AF4*'Market Assumptions'!$B$7</f>
        <v>0</v>
      </c>
      <c r="AG7" s="19" t="n">
        <f aca="false">AG4*'Market Assumptions'!$B$7</f>
        <v>0</v>
      </c>
      <c r="AH7" s="19" t="n">
        <f aca="false">AH4*'Market Assumptions'!$B$7</f>
        <v>0</v>
      </c>
      <c r="AI7" s="19" t="n">
        <f aca="false">AI4*'Market Assumptions'!$B$7</f>
        <v>0</v>
      </c>
      <c r="AJ7" s="19" t="n">
        <f aca="false">AJ4*'Market Assumptions'!$B$7</f>
        <v>0</v>
      </c>
      <c r="AK7" s="19" t="n">
        <f aca="false">AK4*'Market Assumptions'!$B$7</f>
        <v>0</v>
      </c>
      <c r="AL7" s="19" t="n">
        <f aca="false">AL4*'Market Assumptions'!$B$7</f>
        <v>0</v>
      </c>
      <c r="AM7" s="19" t="n">
        <f aca="false">AM4*'Market Assumptions'!$B$7</f>
        <v>0</v>
      </c>
      <c r="AN7" s="19" t="n">
        <f aca="false">AN4*'Market Assumptions'!$B$7</f>
        <v>0</v>
      </c>
      <c r="AO7" s="19" t="n">
        <f aca="false">AO4*'Market Assumptions'!$B$7</f>
        <v>0</v>
      </c>
      <c r="AP7" s="19" t="n">
        <f aca="false">AP4*'Market Assumptions'!$B$7</f>
        <v>0</v>
      </c>
      <c r="AQ7" s="19" t="n">
        <f aca="false">AQ4*'Market Assumptions'!$B$7</f>
        <v>0</v>
      </c>
      <c r="AR7" s="19" t="n">
        <f aca="false">AR4*'Market Assumptions'!$B$7</f>
        <v>0</v>
      </c>
      <c r="AS7" s="19" t="n">
        <f aca="false">AS4*'Market Assumptions'!$B$7</f>
        <v>0</v>
      </c>
      <c r="AT7" s="19" t="n">
        <f aca="false">AT4*'Market Assumptions'!$B$7</f>
        <v>0</v>
      </c>
      <c r="AU7" s="19" t="n">
        <f aca="false">AU4*'Market Assumptions'!$B$7</f>
        <v>0</v>
      </c>
      <c r="AV7" s="19" t="n">
        <f aca="false">AV4*'Market Assumptions'!$B$7</f>
        <v>0</v>
      </c>
      <c r="AW7" s="19" t="n">
        <f aca="false">AW4*'Market Assumptions'!$B$7</f>
        <v>0</v>
      </c>
      <c r="AX7" s="19" t="n">
        <f aca="false">AX4*'Market Assumptions'!$B$7</f>
        <v>0</v>
      </c>
      <c r="AY7" s="19" t="n">
        <f aca="false">AY4*'Market Assumptions'!$B$7</f>
        <v>0</v>
      </c>
      <c r="AZ7" s="19" t="n">
        <f aca="false">AZ4*'Market Assumptions'!$B$7</f>
        <v>0</v>
      </c>
      <c r="BA7" s="19" t="n">
        <f aca="false">BA4*'Market Assumptions'!$B$7</f>
        <v>0</v>
      </c>
      <c r="BB7" s="19" t="n">
        <f aca="false">BB4*'Market Assumptions'!$B$7</f>
        <v>0</v>
      </c>
      <c r="BC7" s="19" t="n">
        <f aca="false">BC4*'Market Assumptions'!$B$7</f>
        <v>0</v>
      </c>
      <c r="BD7" s="19" t="n">
        <f aca="false">BD4*'Market Assumptions'!$B$7</f>
        <v>0</v>
      </c>
      <c r="BE7" s="19" t="n">
        <f aca="false">BE4*'Market Assumptions'!$B$7</f>
        <v>0</v>
      </c>
      <c r="BF7" s="19" t="n">
        <f aca="false">BF4*'Market Assumptions'!$B$7</f>
        <v>0</v>
      </c>
      <c r="BG7" s="19" t="n">
        <f aca="false">BG4*'Market Assumptions'!$B$7</f>
        <v>0</v>
      </c>
      <c r="BH7" s="19" t="n">
        <f aca="false">BH4*'Market Assumptions'!$B$7</f>
        <v>0</v>
      </c>
      <c r="BI7" s="19" t="n">
        <f aca="false">BI4*'Market Assumptions'!$B$7</f>
        <v>0</v>
      </c>
    </row>
    <row r="8" customFormat="false" ht="15" hidden="false" customHeight="false" outlineLevel="0" collapsed="false">
      <c r="A8" s="20" t="s">
        <v>166</v>
      </c>
      <c r="B8" s="19" t="n">
        <f aca="false">IF('Absorption Schedule'!C4&gt;0,'Holding Costs'!$B$12,0)</f>
        <v>0</v>
      </c>
      <c r="C8" s="19" t="n">
        <f aca="false">IF('Absorption Schedule'!C5&gt;0,'Holding Costs'!$B$12,0)</f>
        <v>0</v>
      </c>
      <c r="D8" s="19" t="n">
        <f aca="false">IF('Absorption Schedule'!C6&gt;0,'Holding Costs'!$B$12,0)</f>
        <v>0</v>
      </c>
      <c r="E8" s="19" t="n">
        <f aca="false">IF('Absorption Schedule'!C7&gt;0,'Holding Costs'!$B$12,0)</f>
        <v>0</v>
      </c>
      <c r="F8" s="19" t="n">
        <f aca="false">IF('Absorption Schedule'!C8&gt;0,'Holding Costs'!$B$12,0)</f>
        <v>0</v>
      </c>
      <c r="G8" s="19" t="n">
        <f aca="false">IF('Absorption Schedule'!C9&gt;0,'Holding Costs'!$B$12,0)</f>
        <v>0</v>
      </c>
      <c r="H8" s="19" t="n">
        <f aca="false">IF('Absorption Schedule'!C10&gt;0,'Holding Costs'!$B$12,0)</f>
        <v>0</v>
      </c>
      <c r="I8" s="19" t="n">
        <f aca="false">IF('Absorption Schedule'!C11&gt;0,'Holding Costs'!$B$12,0)</f>
        <v>0</v>
      </c>
      <c r="J8" s="19" t="n">
        <f aca="false">IF('Absorption Schedule'!C12&gt;0,'Holding Costs'!$B$12,0)</f>
        <v>0</v>
      </c>
      <c r="K8" s="19" t="n">
        <f aca="false">IF('Absorption Schedule'!C13&gt;0,'Holding Costs'!$B$12,0)</f>
        <v>0</v>
      </c>
      <c r="L8" s="19" t="n">
        <f aca="false">IF('Absorption Schedule'!C14&gt;0,'Holding Costs'!$B$12,0)</f>
        <v>0</v>
      </c>
      <c r="M8" s="19" t="n">
        <f aca="false">IF('Absorption Schedule'!C15&gt;0,'Holding Costs'!$B$12,0)</f>
        <v>0</v>
      </c>
      <c r="N8" s="19" t="n">
        <f aca="false">IF('Absorption Schedule'!C16&gt;0,'Holding Costs'!$B$12,0)</f>
        <v>0</v>
      </c>
      <c r="O8" s="19" t="n">
        <f aca="false">IF('Absorption Schedule'!C17&gt;0,'Holding Costs'!$B$12,0)</f>
        <v>0</v>
      </c>
      <c r="P8" s="19" t="n">
        <f aca="false">IF('Absorption Schedule'!C18&gt;0,'Holding Costs'!$B$12,0)</f>
        <v>0</v>
      </c>
      <c r="Q8" s="19" t="n">
        <f aca="false">IF('Absorption Schedule'!C19&gt;0,'Holding Costs'!$B$12,0)</f>
        <v>0</v>
      </c>
      <c r="R8" s="19" t="n">
        <f aca="false">IF('Absorption Schedule'!C20&gt;0,'Holding Costs'!$B$12,0)</f>
        <v>0</v>
      </c>
      <c r="S8" s="19" t="n">
        <f aca="false">IF('Absorption Schedule'!C21&gt;0,'Holding Costs'!$B$12,0)</f>
        <v>0</v>
      </c>
      <c r="T8" s="19" t="n">
        <f aca="false">IF('Absorption Schedule'!C22&gt;0,'Holding Costs'!$B$12,0)</f>
        <v>0</v>
      </c>
      <c r="U8" s="19" t="n">
        <f aca="false">IF('Absorption Schedule'!C23&gt;0,'Holding Costs'!$B$12,0)</f>
        <v>0</v>
      </c>
      <c r="V8" s="19" t="n">
        <f aca="false">IF('Absorption Schedule'!C24&gt;0,'Holding Costs'!$B$12,0)</f>
        <v>0</v>
      </c>
      <c r="W8" s="19" t="n">
        <f aca="false">IF('Absorption Schedule'!C25&gt;0,'Holding Costs'!$B$12,0)</f>
        <v>0</v>
      </c>
      <c r="X8" s="19" t="n">
        <f aca="false">IF('Absorption Schedule'!C26&gt;0,'Holding Costs'!$B$12,0)</f>
        <v>0</v>
      </c>
      <c r="Y8" s="19" t="n">
        <f aca="false">IF('Absorption Schedule'!C27&gt;0,'Holding Costs'!$B$12,0)</f>
        <v>0</v>
      </c>
      <c r="Z8" s="19" t="n">
        <f aca="false">IF('Absorption Schedule'!C28&gt;0,'Holding Costs'!$B$12,0)</f>
        <v>0</v>
      </c>
      <c r="AA8" s="19" t="n">
        <f aca="false">IF('Absorption Schedule'!C29&gt;0,'Holding Costs'!$B$12,0)</f>
        <v>0</v>
      </c>
      <c r="AB8" s="19" t="n">
        <f aca="false">IF('Absorption Schedule'!C30&gt;0,'Holding Costs'!$B$12,0)</f>
        <v>0</v>
      </c>
      <c r="AC8" s="19" t="n">
        <f aca="false">IF('Absorption Schedule'!C31&gt;0,'Holding Costs'!$B$12,0)</f>
        <v>0</v>
      </c>
      <c r="AD8" s="19" t="n">
        <f aca="false">IF('Absorption Schedule'!C32&gt;0,'Holding Costs'!$B$12,0)</f>
        <v>0</v>
      </c>
      <c r="AE8" s="19" t="n">
        <f aca="false">IF('Absorption Schedule'!C33&gt;0,'Holding Costs'!$B$12,0)</f>
        <v>0</v>
      </c>
      <c r="AF8" s="19" t="n">
        <f aca="false">IF('Absorption Schedule'!C34&gt;0,'Holding Costs'!$B$12,0)</f>
        <v>0</v>
      </c>
      <c r="AG8" s="19" t="n">
        <f aca="false">IF('Absorption Schedule'!C35&gt;0,'Holding Costs'!$B$12,0)</f>
        <v>0</v>
      </c>
      <c r="AH8" s="19" t="n">
        <f aca="false">IF('Absorption Schedule'!C36&gt;0,'Holding Costs'!$B$12,0)</f>
        <v>0</v>
      </c>
      <c r="AI8" s="19" t="n">
        <f aca="false">IF('Absorption Schedule'!C37&gt;0,'Holding Costs'!$B$12,0)</f>
        <v>0</v>
      </c>
      <c r="AJ8" s="19" t="n">
        <f aca="false">IF('Absorption Schedule'!C38&gt;0,'Holding Costs'!$B$12,0)</f>
        <v>0</v>
      </c>
      <c r="AK8" s="19" t="n">
        <f aca="false">IF('Absorption Schedule'!C39&gt;0,'Holding Costs'!$B$12,0)</f>
        <v>0</v>
      </c>
      <c r="AL8" s="19" t="n">
        <f aca="false">IF('Absorption Schedule'!C40&gt;0,'Holding Costs'!$B$12,0)</f>
        <v>0</v>
      </c>
      <c r="AM8" s="19" t="n">
        <f aca="false">IF('Absorption Schedule'!C41&gt;0,'Holding Costs'!$B$12,0)</f>
        <v>0</v>
      </c>
      <c r="AN8" s="19" t="n">
        <f aca="false">IF('Absorption Schedule'!C42&gt;0,'Holding Costs'!$B$12,0)</f>
        <v>0</v>
      </c>
      <c r="AO8" s="19" t="n">
        <f aca="false">IF('Absorption Schedule'!C43&gt;0,'Holding Costs'!$B$12,0)</f>
        <v>0</v>
      </c>
      <c r="AP8" s="19" t="n">
        <f aca="false">IF('Absorption Schedule'!C44&gt;0,'Holding Costs'!$B$12,0)</f>
        <v>0</v>
      </c>
      <c r="AQ8" s="19" t="n">
        <f aca="false">IF('Absorption Schedule'!C45&gt;0,'Holding Costs'!$B$12,0)</f>
        <v>0</v>
      </c>
      <c r="AR8" s="19" t="n">
        <f aca="false">IF('Absorption Schedule'!C46&gt;0,'Holding Costs'!$B$12,0)</f>
        <v>0</v>
      </c>
      <c r="AS8" s="19" t="n">
        <f aca="false">IF('Absorption Schedule'!C47&gt;0,'Holding Costs'!$B$12,0)</f>
        <v>0</v>
      </c>
      <c r="AT8" s="19" t="n">
        <f aca="false">IF('Absorption Schedule'!C48&gt;0,'Holding Costs'!$B$12,0)</f>
        <v>0</v>
      </c>
      <c r="AU8" s="19" t="n">
        <f aca="false">IF('Absorption Schedule'!C49&gt;0,'Holding Costs'!$B$12,0)</f>
        <v>0</v>
      </c>
      <c r="AV8" s="19" t="n">
        <f aca="false">IF('Absorption Schedule'!C50&gt;0,'Holding Costs'!$B$12,0)</f>
        <v>0</v>
      </c>
      <c r="AW8" s="19" t="n">
        <f aca="false">IF('Absorption Schedule'!C51&gt;0,'Holding Costs'!$B$12,0)</f>
        <v>0</v>
      </c>
      <c r="AX8" s="19" t="n">
        <f aca="false">IF('Absorption Schedule'!C52&gt;0,'Holding Costs'!$B$12,0)</f>
        <v>0</v>
      </c>
      <c r="AY8" s="19" t="n">
        <f aca="false">IF('Absorption Schedule'!C53&gt;0,'Holding Costs'!$B$12,0)</f>
        <v>0</v>
      </c>
      <c r="AZ8" s="19" t="n">
        <f aca="false">IF('Absorption Schedule'!C54&gt;0,'Holding Costs'!$B$12,0)</f>
        <v>0</v>
      </c>
      <c r="BA8" s="19" t="n">
        <f aca="false">IF('Absorption Schedule'!C55&gt;0,'Holding Costs'!$B$12,0)</f>
        <v>0</v>
      </c>
      <c r="BB8" s="19" t="n">
        <f aca="false">IF('Absorption Schedule'!C56&gt;0,'Holding Costs'!$B$12,0)</f>
        <v>0</v>
      </c>
      <c r="BC8" s="19" t="n">
        <f aca="false">IF('Absorption Schedule'!C57&gt;0,'Holding Costs'!$B$12,0)</f>
        <v>0</v>
      </c>
      <c r="BD8" s="19" t="n">
        <f aca="false">IF('Absorption Schedule'!C58&gt;0,'Holding Costs'!$B$12,0)</f>
        <v>0</v>
      </c>
      <c r="BE8" s="19" t="n">
        <f aca="false">IF('Absorption Schedule'!C59&gt;0,'Holding Costs'!$B$12,0)</f>
        <v>0</v>
      </c>
      <c r="BF8" s="19" t="n">
        <f aca="false">IF('Absorption Schedule'!C60&gt;0,'Holding Costs'!$B$12,0)</f>
        <v>0</v>
      </c>
      <c r="BG8" s="19" t="n">
        <f aca="false">IF('Absorption Schedule'!C61&gt;0,'Holding Costs'!$B$12,0)</f>
        <v>0</v>
      </c>
      <c r="BH8" s="19" t="n">
        <f aca="false">IF('Absorption Schedule'!C62&gt;0,'Holding Costs'!$B$12,0)</f>
        <v>0</v>
      </c>
      <c r="BI8" s="19" t="n">
        <f aca="false">IF('Absorption Schedule'!C63&gt;0,'Holding Costs'!$B$12,0)</f>
        <v>0</v>
      </c>
    </row>
    <row r="9" customFormat="false" ht="15" hidden="false" customHeight="false" outlineLevel="0" collapsed="false">
      <c r="A9" s="20" t="s">
        <v>89</v>
      </c>
      <c r="B9" s="19" t="n">
        <f aca="false">B4*'Market Assumptions'!$B$8</f>
        <v>0</v>
      </c>
      <c r="C9" s="19" t="n">
        <f aca="false">C4*'Market Assumptions'!$B$8</f>
        <v>0</v>
      </c>
      <c r="D9" s="19" t="n">
        <f aca="false">D4*'Market Assumptions'!$B$8</f>
        <v>0</v>
      </c>
      <c r="E9" s="19" t="n">
        <f aca="false">E4*'Market Assumptions'!$B$8</f>
        <v>0</v>
      </c>
      <c r="F9" s="19" t="n">
        <f aca="false">F4*'Market Assumptions'!$B$8</f>
        <v>0</v>
      </c>
      <c r="G9" s="19" t="n">
        <f aca="false">G4*'Market Assumptions'!$B$8</f>
        <v>0</v>
      </c>
      <c r="H9" s="19" t="n">
        <f aca="false">H4*'Market Assumptions'!$B$8</f>
        <v>0</v>
      </c>
      <c r="I9" s="19" t="n">
        <f aca="false">I4*'Market Assumptions'!$B$8</f>
        <v>0</v>
      </c>
      <c r="J9" s="19" t="n">
        <f aca="false">J4*'Market Assumptions'!$B$8</f>
        <v>0</v>
      </c>
      <c r="K9" s="19" t="n">
        <f aca="false">K4*'Market Assumptions'!$B$8</f>
        <v>0</v>
      </c>
      <c r="L9" s="19" t="n">
        <f aca="false">L4*'Market Assumptions'!$B$8</f>
        <v>0</v>
      </c>
      <c r="M9" s="19" t="n">
        <f aca="false">M4*'Market Assumptions'!$B$8</f>
        <v>0</v>
      </c>
      <c r="N9" s="19" t="n">
        <f aca="false">N4*'Market Assumptions'!$B$8</f>
        <v>0</v>
      </c>
      <c r="O9" s="19" t="n">
        <f aca="false">O4*'Market Assumptions'!$B$8</f>
        <v>0</v>
      </c>
      <c r="P9" s="19" t="n">
        <f aca="false">P4*'Market Assumptions'!$B$8</f>
        <v>0</v>
      </c>
      <c r="Q9" s="19" t="n">
        <f aca="false">Q4*'Market Assumptions'!$B$8</f>
        <v>0</v>
      </c>
      <c r="R9" s="19" t="n">
        <f aca="false">R4*'Market Assumptions'!$B$8</f>
        <v>0</v>
      </c>
      <c r="S9" s="19" t="n">
        <f aca="false">S4*'Market Assumptions'!$B$8</f>
        <v>0</v>
      </c>
      <c r="T9" s="19" t="n">
        <f aca="false">T4*'Market Assumptions'!$B$8</f>
        <v>0</v>
      </c>
      <c r="U9" s="19" t="n">
        <f aca="false">U4*'Market Assumptions'!$B$8</f>
        <v>0</v>
      </c>
      <c r="V9" s="19" t="n">
        <f aca="false">V4*'Market Assumptions'!$B$8</f>
        <v>0</v>
      </c>
      <c r="W9" s="19" t="n">
        <f aca="false">W4*'Market Assumptions'!$B$8</f>
        <v>0</v>
      </c>
      <c r="X9" s="19" t="n">
        <f aca="false">X4*'Market Assumptions'!$B$8</f>
        <v>0</v>
      </c>
      <c r="Y9" s="19" t="n">
        <f aca="false">Y4*'Market Assumptions'!$B$8</f>
        <v>0</v>
      </c>
      <c r="Z9" s="19" t="n">
        <f aca="false">Z4*'Market Assumptions'!$B$8</f>
        <v>0</v>
      </c>
      <c r="AA9" s="19" t="n">
        <f aca="false">AA4*'Market Assumptions'!$B$8</f>
        <v>0</v>
      </c>
      <c r="AB9" s="19" t="n">
        <f aca="false">AB4*'Market Assumptions'!$B$8</f>
        <v>0</v>
      </c>
      <c r="AC9" s="19" t="n">
        <f aca="false">AC4*'Market Assumptions'!$B$8</f>
        <v>0</v>
      </c>
      <c r="AD9" s="19" t="n">
        <f aca="false">AD4*'Market Assumptions'!$B$8</f>
        <v>0</v>
      </c>
      <c r="AE9" s="19" t="n">
        <f aca="false">AE4*'Market Assumptions'!$B$8</f>
        <v>0</v>
      </c>
      <c r="AF9" s="19" t="n">
        <f aca="false">AF4*'Market Assumptions'!$B$8</f>
        <v>0</v>
      </c>
      <c r="AG9" s="19" t="n">
        <f aca="false">AG4*'Market Assumptions'!$B$8</f>
        <v>0</v>
      </c>
      <c r="AH9" s="19" t="n">
        <f aca="false">AH4*'Market Assumptions'!$B$8</f>
        <v>0</v>
      </c>
      <c r="AI9" s="19" t="n">
        <f aca="false">AI4*'Market Assumptions'!$B$8</f>
        <v>0</v>
      </c>
      <c r="AJ9" s="19" t="n">
        <f aca="false">AJ4*'Market Assumptions'!$B$8</f>
        <v>0</v>
      </c>
      <c r="AK9" s="19" t="n">
        <f aca="false">AK4*'Market Assumptions'!$B$8</f>
        <v>0</v>
      </c>
      <c r="AL9" s="19" t="n">
        <f aca="false">AL4*'Market Assumptions'!$B$8</f>
        <v>0</v>
      </c>
      <c r="AM9" s="19" t="n">
        <f aca="false">AM4*'Market Assumptions'!$B$8</f>
        <v>0</v>
      </c>
      <c r="AN9" s="19" t="n">
        <f aca="false">AN4*'Market Assumptions'!$B$8</f>
        <v>0</v>
      </c>
      <c r="AO9" s="19" t="n">
        <f aca="false">AO4*'Market Assumptions'!$B$8</f>
        <v>0</v>
      </c>
      <c r="AP9" s="19" t="n">
        <f aca="false">AP4*'Market Assumptions'!$B$8</f>
        <v>0</v>
      </c>
      <c r="AQ9" s="19" t="n">
        <f aca="false">AQ4*'Market Assumptions'!$B$8</f>
        <v>0</v>
      </c>
      <c r="AR9" s="19" t="n">
        <f aca="false">AR4*'Market Assumptions'!$B$8</f>
        <v>0</v>
      </c>
      <c r="AS9" s="19" t="n">
        <f aca="false">AS4*'Market Assumptions'!$B$8</f>
        <v>0</v>
      </c>
      <c r="AT9" s="19" t="n">
        <f aca="false">AT4*'Market Assumptions'!$B$8</f>
        <v>0</v>
      </c>
      <c r="AU9" s="19" t="n">
        <f aca="false">AU4*'Market Assumptions'!$B$8</f>
        <v>0</v>
      </c>
      <c r="AV9" s="19" t="n">
        <f aca="false">AV4*'Market Assumptions'!$B$8</f>
        <v>0</v>
      </c>
      <c r="AW9" s="19" t="n">
        <f aca="false">AW4*'Market Assumptions'!$B$8</f>
        <v>0</v>
      </c>
      <c r="AX9" s="19" t="n">
        <f aca="false">AX4*'Market Assumptions'!$B$8</f>
        <v>0</v>
      </c>
      <c r="AY9" s="19" t="n">
        <f aca="false">AY4*'Market Assumptions'!$B$8</f>
        <v>0</v>
      </c>
      <c r="AZ9" s="19" t="n">
        <f aca="false">AZ4*'Market Assumptions'!$B$8</f>
        <v>0</v>
      </c>
      <c r="BA9" s="19" t="n">
        <f aca="false">BA4*'Market Assumptions'!$B$8</f>
        <v>0</v>
      </c>
      <c r="BB9" s="19" t="n">
        <f aca="false">BB4*'Market Assumptions'!$B$8</f>
        <v>0</v>
      </c>
      <c r="BC9" s="19" t="n">
        <f aca="false">BC4*'Market Assumptions'!$B$8</f>
        <v>0</v>
      </c>
      <c r="BD9" s="19" t="n">
        <f aca="false">BD4*'Market Assumptions'!$B$8</f>
        <v>0</v>
      </c>
      <c r="BE9" s="19" t="n">
        <f aca="false">BE4*'Market Assumptions'!$B$8</f>
        <v>0</v>
      </c>
      <c r="BF9" s="19" t="n">
        <f aca="false">BF4*'Market Assumptions'!$B$8</f>
        <v>0</v>
      </c>
      <c r="BG9" s="19" t="n">
        <f aca="false">BG4*'Market Assumptions'!$B$8</f>
        <v>0</v>
      </c>
      <c r="BH9" s="19" t="n">
        <f aca="false">BH4*'Market Assumptions'!$B$8</f>
        <v>0</v>
      </c>
      <c r="BI9" s="19" t="n">
        <f aca="false">BI4*'Market Assumptions'!$B$8</f>
        <v>0</v>
      </c>
    </row>
    <row r="10" customFormat="false" ht="15" hidden="false" customHeight="false" outlineLevel="0" collapsed="false">
      <c r="A10" s="20" t="s">
        <v>167</v>
      </c>
      <c r="B10" s="19" t="n">
        <f aca="false">B4-SUM(B5:B9)</f>
        <v>0</v>
      </c>
      <c r="C10" s="19" t="n">
        <f aca="false">C4-SUM(C5:C9)</f>
        <v>0</v>
      </c>
      <c r="D10" s="19" t="n">
        <f aca="false">D4-SUM(D5:D9)</f>
        <v>0</v>
      </c>
      <c r="E10" s="19" t="n">
        <f aca="false">E4-SUM(E5:E9)</f>
        <v>0</v>
      </c>
      <c r="F10" s="19" t="n">
        <f aca="false">F4-SUM(F5:F9)</f>
        <v>0</v>
      </c>
      <c r="G10" s="19" t="n">
        <f aca="false">G4-SUM(G5:G9)</f>
        <v>0</v>
      </c>
      <c r="H10" s="19" t="n">
        <f aca="false">H4-SUM(H5:H9)</f>
        <v>0</v>
      </c>
      <c r="I10" s="19" t="n">
        <f aca="false">I4-SUM(I5:I9)</f>
        <v>0</v>
      </c>
      <c r="J10" s="19" t="n">
        <f aca="false">J4-SUM(J5:J9)</f>
        <v>0</v>
      </c>
      <c r="K10" s="19" t="n">
        <f aca="false">K4-SUM(K5:K9)</f>
        <v>0</v>
      </c>
      <c r="L10" s="19" t="n">
        <f aca="false">L4-SUM(L5:L9)</f>
        <v>0</v>
      </c>
      <c r="M10" s="19" t="n">
        <f aca="false">M4-SUM(M5:M9)</f>
        <v>0</v>
      </c>
      <c r="N10" s="19" t="n">
        <f aca="false">N4-SUM(N5:N9)</f>
        <v>0</v>
      </c>
      <c r="O10" s="19" t="n">
        <f aca="false">O4-SUM(O5:O9)</f>
        <v>0</v>
      </c>
      <c r="P10" s="19" t="n">
        <f aca="false">P4-SUM(P5:P9)</f>
        <v>0</v>
      </c>
      <c r="Q10" s="19" t="n">
        <f aca="false">Q4-SUM(Q5:Q9)</f>
        <v>0</v>
      </c>
      <c r="R10" s="19" t="n">
        <f aca="false">R4-SUM(R5:R9)</f>
        <v>0</v>
      </c>
      <c r="S10" s="19" t="n">
        <f aca="false">S4-SUM(S5:S9)</f>
        <v>0</v>
      </c>
      <c r="T10" s="19" t="n">
        <f aca="false">T4-SUM(T5:T9)</f>
        <v>0</v>
      </c>
      <c r="U10" s="19" t="n">
        <f aca="false">U4-SUM(U5:U9)</f>
        <v>0</v>
      </c>
      <c r="V10" s="19" t="n">
        <f aca="false">V4-SUM(V5:V9)</f>
        <v>0</v>
      </c>
      <c r="W10" s="19" t="n">
        <f aca="false">W4-SUM(W5:W9)</f>
        <v>0</v>
      </c>
      <c r="X10" s="19" t="n">
        <f aca="false">X4-SUM(X5:X9)</f>
        <v>0</v>
      </c>
      <c r="Y10" s="19" t="n">
        <f aca="false">Y4-SUM(Y5:Y9)</f>
        <v>0</v>
      </c>
      <c r="Z10" s="19" t="n">
        <f aca="false">Z4-SUM(Z5:Z9)</f>
        <v>0</v>
      </c>
      <c r="AA10" s="19" t="n">
        <f aca="false">AA4-SUM(AA5:AA9)</f>
        <v>0</v>
      </c>
      <c r="AB10" s="19" t="n">
        <f aca="false">AB4-SUM(AB5:AB9)</f>
        <v>0</v>
      </c>
      <c r="AC10" s="19" t="n">
        <f aca="false">AC4-SUM(AC5:AC9)</f>
        <v>0</v>
      </c>
      <c r="AD10" s="19" t="n">
        <f aca="false">AD4-SUM(AD5:AD9)</f>
        <v>0</v>
      </c>
      <c r="AE10" s="19" t="n">
        <f aca="false">AE4-SUM(AE5:AE9)</f>
        <v>0</v>
      </c>
      <c r="AF10" s="19" t="n">
        <f aca="false">AF4-SUM(AF5:AF9)</f>
        <v>0</v>
      </c>
      <c r="AG10" s="19" t="n">
        <f aca="false">AG4-SUM(AG5:AG9)</f>
        <v>0</v>
      </c>
      <c r="AH10" s="19" t="n">
        <f aca="false">AH4-SUM(AH5:AH9)</f>
        <v>0</v>
      </c>
      <c r="AI10" s="19" t="n">
        <f aca="false">AI4-SUM(AI5:AI9)</f>
        <v>0</v>
      </c>
      <c r="AJ10" s="19" t="n">
        <f aca="false">AJ4-SUM(AJ5:AJ9)</f>
        <v>0</v>
      </c>
      <c r="AK10" s="19" t="n">
        <f aca="false">AK4-SUM(AK5:AK9)</f>
        <v>0</v>
      </c>
      <c r="AL10" s="19" t="n">
        <f aca="false">AL4-SUM(AL5:AL9)</f>
        <v>0</v>
      </c>
      <c r="AM10" s="19" t="n">
        <f aca="false">AM4-SUM(AM5:AM9)</f>
        <v>0</v>
      </c>
      <c r="AN10" s="19" t="n">
        <f aca="false">AN4-SUM(AN5:AN9)</f>
        <v>0</v>
      </c>
      <c r="AO10" s="19" t="n">
        <f aca="false">AO4-SUM(AO5:AO9)</f>
        <v>0</v>
      </c>
      <c r="AP10" s="19" t="n">
        <f aca="false">AP4-SUM(AP5:AP9)</f>
        <v>0</v>
      </c>
      <c r="AQ10" s="19" t="n">
        <f aca="false">AQ4-SUM(AQ5:AQ9)</f>
        <v>0</v>
      </c>
      <c r="AR10" s="19" t="n">
        <f aca="false">AR4-SUM(AR5:AR9)</f>
        <v>0</v>
      </c>
      <c r="AS10" s="19" t="n">
        <f aca="false">AS4-SUM(AS5:AS9)</f>
        <v>0</v>
      </c>
      <c r="AT10" s="19" t="n">
        <f aca="false">AT4-SUM(AT5:AT9)</f>
        <v>0</v>
      </c>
      <c r="AU10" s="19" t="n">
        <f aca="false">AU4-SUM(AU5:AU9)</f>
        <v>0</v>
      </c>
      <c r="AV10" s="19" t="n">
        <f aca="false">AV4-SUM(AV5:AV9)</f>
        <v>0</v>
      </c>
      <c r="AW10" s="19" t="n">
        <f aca="false">AW4-SUM(AW5:AW9)</f>
        <v>0</v>
      </c>
      <c r="AX10" s="19" t="n">
        <f aca="false">AX4-SUM(AX5:AX9)</f>
        <v>0</v>
      </c>
      <c r="AY10" s="19" t="n">
        <f aca="false">AY4-SUM(AY5:AY9)</f>
        <v>0</v>
      </c>
      <c r="AZ10" s="19" t="n">
        <f aca="false">AZ4-SUM(AZ5:AZ9)</f>
        <v>0</v>
      </c>
      <c r="BA10" s="19" t="n">
        <f aca="false">BA4-SUM(BA5:BA9)</f>
        <v>0</v>
      </c>
      <c r="BB10" s="19" t="n">
        <f aca="false">BB4-SUM(BB5:BB9)</f>
        <v>0</v>
      </c>
      <c r="BC10" s="19" t="n">
        <f aca="false">BC4-SUM(BC5:BC9)</f>
        <v>0</v>
      </c>
      <c r="BD10" s="19" t="n">
        <f aca="false">BD4-SUM(BD5:BD9)</f>
        <v>0</v>
      </c>
      <c r="BE10" s="19" t="n">
        <f aca="false">BE4-SUM(BE5:BE9)</f>
        <v>0</v>
      </c>
      <c r="BF10" s="19" t="n">
        <f aca="false">BF4-SUM(BF5:BF9)</f>
        <v>0</v>
      </c>
      <c r="BG10" s="19" t="n">
        <f aca="false">BG4-SUM(BG5:BG9)</f>
        <v>0</v>
      </c>
      <c r="BH10" s="19" t="n">
        <f aca="false">BH4-SUM(BH5:BH9)</f>
        <v>0</v>
      </c>
      <c r="BI10" s="19" t="n">
        <f aca="false">BI4-SUM(BI5:BI9)</f>
        <v>0</v>
      </c>
    </row>
    <row r="11" customFormat="false" ht="15" hidden="false" customHeight="false" outlineLevel="0" collapsed="false">
      <c r="A11" s="20" t="s">
        <v>168</v>
      </c>
      <c r="B11" s="21" t="n">
        <f aca="false">1/(1+'Discount Rate Support'!$C$13/12)^B$3</f>
        <v>1</v>
      </c>
      <c r="C11" s="21" t="n">
        <f aca="false">1/(1+'Discount Rate Support'!$C$13/12)^C$3</f>
        <v>1</v>
      </c>
      <c r="D11" s="21" t="n">
        <f aca="false">1/(1+'Discount Rate Support'!$C$13/12)^D$3</f>
        <v>1</v>
      </c>
      <c r="E11" s="21" t="n">
        <f aca="false">1/(1+'Discount Rate Support'!$C$13/12)^E$3</f>
        <v>1</v>
      </c>
      <c r="F11" s="21" t="n">
        <f aca="false">1/(1+'Discount Rate Support'!$C$13/12)^F$3</f>
        <v>1</v>
      </c>
      <c r="G11" s="21" t="n">
        <f aca="false">1/(1+'Discount Rate Support'!$C$13/12)^G$3</f>
        <v>1</v>
      </c>
      <c r="H11" s="21" t="n">
        <f aca="false">1/(1+'Discount Rate Support'!$C$13/12)^H$3</f>
        <v>1</v>
      </c>
      <c r="I11" s="21" t="n">
        <f aca="false">1/(1+'Discount Rate Support'!$C$13/12)^I$3</f>
        <v>1</v>
      </c>
      <c r="J11" s="21" t="n">
        <f aca="false">1/(1+'Discount Rate Support'!$C$13/12)^J$3</f>
        <v>1</v>
      </c>
      <c r="K11" s="21" t="n">
        <f aca="false">1/(1+'Discount Rate Support'!$C$13/12)^K$3</f>
        <v>1</v>
      </c>
      <c r="L11" s="21" t="n">
        <f aca="false">1/(1+'Discount Rate Support'!$C$13/12)^L$3</f>
        <v>1</v>
      </c>
      <c r="M11" s="21" t="n">
        <f aca="false">1/(1+'Discount Rate Support'!$C$13/12)^M$3</f>
        <v>1</v>
      </c>
      <c r="N11" s="21" t="n">
        <f aca="false">1/(1+'Discount Rate Support'!$C$13/12)^N$3</f>
        <v>1</v>
      </c>
      <c r="O11" s="21" t="n">
        <f aca="false">1/(1+'Discount Rate Support'!$C$13/12)^O$3</f>
        <v>1</v>
      </c>
      <c r="P11" s="21" t="n">
        <f aca="false">1/(1+'Discount Rate Support'!$C$13/12)^P$3</f>
        <v>1</v>
      </c>
      <c r="Q11" s="21" t="n">
        <f aca="false">1/(1+'Discount Rate Support'!$C$13/12)^Q$3</f>
        <v>1</v>
      </c>
      <c r="R11" s="21" t="n">
        <f aca="false">1/(1+'Discount Rate Support'!$C$13/12)^R$3</f>
        <v>1</v>
      </c>
      <c r="S11" s="21" t="n">
        <f aca="false">1/(1+'Discount Rate Support'!$C$13/12)^S$3</f>
        <v>1</v>
      </c>
      <c r="T11" s="21" t="n">
        <f aca="false">1/(1+'Discount Rate Support'!$C$13/12)^T$3</f>
        <v>1</v>
      </c>
      <c r="U11" s="21" t="n">
        <f aca="false">1/(1+'Discount Rate Support'!$C$13/12)^U$3</f>
        <v>1</v>
      </c>
      <c r="V11" s="21" t="n">
        <f aca="false">1/(1+'Discount Rate Support'!$C$13/12)^V$3</f>
        <v>1</v>
      </c>
      <c r="W11" s="21" t="n">
        <f aca="false">1/(1+'Discount Rate Support'!$C$13/12)^W$3</f>
        <v>1</v>
      </c>
      <c r="X11" s="21" t="n">
        <f aca="false">1/(1+'Discount Rate Support'!$C$13/12)^X$3</f>
        <v>1</v>
      </c>
      <c r="Y11" s="21" t="n">
        <f aca="false">1/(1+'Discount Rate Support'!$C$13/12)^Y$3</f>
        <v>1</v>
      </c>
      <c r="Z11" s="21" t="n">
        <f aca="false">1/(1+'Discount Rate Support'!$C$13/12)^Z$3</f>
        <v>1</v>
      </c>
      <c r="AA11" s="21" t="n">
        <f aca="false">1/(1+'Discount Rate Support'!$C$13/12)^AA$3</f>
        <v>1</v>
      </c>
      <c r="AB11" s="21" t="n">
        <f aca="false">1/(1+'Discount Rate Support'!$C$13/12)^AB$3</f>
        <v>1</v>
      </c>
      <c r="AC11" s="21" t="n">
        <f aca="false">1/(1+'Discount Rate Support'!$C$13/12)^AC$3</f>
        <v>1</v>
      </c>
      <c r="AD11" s="21" t="n">
        <f aca="false">1/(1+'Discount Rate Support'!$C$13/12)^AD$3</f>
        <v>1</v>
      </c>
      <c r="AE11" s="21" t="n">
        <f aca="false">1/(1+'Discount Rate Support'!$C$13/12)^AE$3</f>
        <v>1</v>
      </c>
      <c r="AF11" s="21" t="n">
        <f aca="false">1/(1+'Discount Rate Support'!$C$13/12)^AF$3</f>
        <v>1</v>
      </c>
      <c r="AG11" s="21" t="n">
        <f aca="false">1/(1+'Discount Rate Support'!$C$13/12)^AG$3</f>
        <v>1</v>
      </c>
      <c r="AH11" s="21" t="n">
        <f aca="false">1/(1+'Discount Rate Support'!$C$13/12)^AH$3</f>
        <v>1</v>
      </c>
      <c r="AI11" s="21" t="n">
        <f aca="false">1/(1+'Discount Rate Support'!$C$13/12)^AI$3</f>
        <v>1</v>
      </c>
      <c r="AJ11" s="21" t="n">
        <f aca="false">1/(1+'Discount Rate Support'!$C$13/12)^AJ$3</f>
        <v>1</v>
      </c>
      <c r="AK11" s="21" t="n">
        <f aca="false">1/(1+'Discount Rate Support'!$C$13/12)^AK$3</f>
        <v>1</v>
      </c>
      <c r="AL11" s="21" t="n">
        <f aca="false">1/(1+'Discount Rate Support'!$C$13/12)^AL$3</f>
        <v>1</v>
      </c>
      <c r="AM11" s="21" t="n">
        <f aca="false">1/(1+'Discount Rate Support'!$C$13/12)^AM$3</f>
        <v>1</v>
      </c>
      <c r="AN11" s="21" t="n">
        <f aca="false">1/(1+'Discount Rate Support'!$C$13/12)^AN$3</f>
        <v>1</v>
      </c>
      <c r="AO11" s="21" t="n">
        <f aca="false">1/(1+'Discount Rate Support'!$C$13/12)^AO$3</f>
        <v>1</v>
      </c>
      <c r="AP11" s="21" t="n">
        <f aca="false">1/(1+'Discount Rate Support'!$C$13/12)^AP$3</f>
        <v>1</v>
      </c>
      <c r="AQ11" s="21" t="n">
        <f aca="false">1/(1+'Discount Rate Support'!$C$13/12)^AQ$3</f>
        <v>1</v>
      </c>
      <c r="AR11" s="21" t="n">
        <f aca="false">1/(1+'Discount Rate Support'!$C$13/12)^AR$3</f>
        <v>1</v>
      </c>
      <c r="AS11" s="21" t="n">
        <f aca="false">1/(1+'Discount Rate Support'!$C$13/12)^AS$3</f>
        <v>1</v>
      </c>
      <c r="AT11" s="21" t="n">
        <f aca="false">1/(1+'Discount Rate Support'!$C$13/12)^AT$3</f>
        <v>1</v>
      </c>
      <c r="AU11" s="21" t="n">
        <f aca="false">1/(1+'Discount Rate Support'!$C$13/12)^AU$3</f>
        <v>1</v>
      </c>
      <c r="AV11" s="21" t="n">
        <f aca="false">1/(1+'Discount Rate Support'!$C$13/12)^AV$3</f>
        <v>1</v>
      </c>
      <c r="AW11" s="21" t="n">
        <f aca="false">1/(1+'Discount Rate Support'!$C$13/12)^AW$3</f>
        <v>1</v>
      </c>
      <c r="AX11" s="21" t="n">
        <f aca="false">1/(1+'Discount Rate Support'!$C$13/12)^AX$3</f>
        <v>1</v>
      </c>
      <c r="AY11" s="21" t="n">
        <f aca="false">1/(1+'Discount Rate Support'!$C$13/12)^AY$3</f>
        <v>1</v>
      </c>
      <c r="AZ11" s="21" t="n">
        <f aca="false">1/(1+'Discount Rate Support'!$C$13/12)^AZ$3</f>
        <v>1</v>
      </c>
      <c r="BA11" s="21" t="n">
        <f aca="false">1/(1+'Discount Rate Support'!$C$13/12)^BA$3</f>
        <v>1</v>
      </c>
      <c r="BB11" s="21" t="n">
        <f aca="false">1/(1+'Discount Rate Support'!$C$13/12)^BB$3</f>
        <v>1</v>
      </c>
      <c r="BC11" s="21" t="n">
        <f aca="false">1/(1+'Discount Rate Support'!$C$13/12)^BC$3</f>
        <v>1</v>
      </c>
      <c r="BD11" s="21" t="n">
        <f aca="false">1/(1+'Discount Rate Support'!$C$13/12)^BD$3</f>
        <v>1</v>
      </c>
      <c r="BE11" s="21" t="n">
        <f aca="false">1/(1+'Discount Rate Support'!$C$13/12)^BE$3</f>
        <v>1</v>
      </c>
      <c r="BF11" s="21" t="n">
        <f aca="false">1/(1+'Discount Rate Support'!$C$13/12)^BF$3</f>
        <v>1</v>
      </c>
      <c r="BG11" s="21" t="n">
        <f aca="false">1/(1+'Discount Rate Support'!$C$13/12)^BG$3</f>
        <v>1</v>
      </c>
      <c r="BH11" s="21" t="n">
        <f aca="false">1/(1+'Discount Rate Support'!$C$13/12)^BH$3</f>
        <v>1</v>
      </c>
      <c r="BI11" s="21" t="n">
        <f aca="false">1/(1+'Discount Rate Support'!$C$13/12)^BI$3</f>
        <v>1</v>
      </c>
    </row>
    <row r="12" customFormat="false" ht="15" hidden="false" customHeight="false" outlineLevel="0" collapsed="false">
      <c r="A12" s="20" t="s">
        <v>169</v>
      </c>
      <c r="B12" s="19" t="n">
        <f aca="false">B10*B11</f>
        <v>0</v>
      </c>
      <c r="C12" s="19" t="n">
        <f aca="false">C10*C11</f>
        <v>0</v>
      </c>
      <c r="D12" s="19" t="n">
        <f aca="false">D10*D11</f>
        <v>0</v>
      </c>
      <c r="E12" s="19" t="n">
        <f aca="false">E10*E11</f>
        <v>0</v>
      </c>
      <c r="F12" s="19" t="n">
        <f aca="false">F10*F11</f>
        <v>0</v>
      </c>
      <c r="G12" s="19" t="n">
        <f aca="false">G10*G11</f>
        <v>0</v>
      </c>
      <c r="H12" s="19" t="n">
        <f aca="false">H10*H11</f>
        <v>0</v>
      </c>
      <c r="I12" s="19" t="n">
        <f aca="false">I10*I11</f>
        <v>0</v>
      </c>
      <c r="J12" s="19" t="n">
        <f aca="false">J10*J11</f>
        <v>0</v>
      </c>
      <c r="K12" s="19" t="n">
        <f aca="false">K10*K11</f>
        <v>0</v>
      </c>
      <c r="L12" s="19" t="n">
        <f aca="false">L10*L11</f>
        <v>0</v>
      </c>
      <c r="M12" s="19" t="n">
        <f aca="false">M10*M11</f>
        <v>0</v>
      </c>
      <c r="N12" s="19" t="n">
        <f aca="false">N10*N11</f>
        <v>0</v>
      </c>
      <c r="O12" s="19" t="n">
        <f aca="false">O10*O11</f>
        <v>0</v>
      </c>
      <c r="P12" s="19" t="n">
        <f aca="false">P10*P11</f>
        <v>0</v>
      </c>
      <c r="Q12" s="19" t="n">
        <f aca="false">Q10*Q11</f>
        <v>0</v>
      </c>
      <c r="R12" s="19" t="n">
        <f aca="false">R10*R11</f>
        <v>0</v>
      </c>
      <c r="S12" s="19" t="n">
        <f aca="false">S10*S11</f>
        <v>0</v>
      </c>
      <c r="T12" s="19" t="n">
        <f aca="false">T10*T11</f>
        <v>0</v>
      </c>
      <c r="U12" s="19" t="n">
        <f aca="false">U10*U11</f>
        <v>0</v>
      </c>
      <c r="V12" s="19" t="n">
        <f aca="false">V10*V11</f>
        <v>0</v>
      </c>
      <c r="W12" s="19" t="n">
        <f aca="false">W10*W11</f>
        <v>0</v>
      </c>
      <c r="X12" s="19" t="n">
        <f aca="false">X10*X11</f>
        <v>0</v>
      </c>
      <c r="Y12" s="19" t="n">
        <f aca="false">Y10*Y11</f>
        <v>0</v>
      </c>
      <c r="Z12" s="19" t="n">
        <f aca="false">Z10*Z11</f>
        <v>0</v>
      </c>
      <c r="AA12" s="19" t="n">
        <f aca="false">AA10*AA11</f>
        <v>0</v>
      </c>
      <c r="AB12" s="19" t="n">
        <f aca="false">AB10*AB11</f>
        <v>0</v>
      </c>
      <c r="AC12" s="19" t="n">
        <f aca="false">AC10*AC11</f>
        <v>0</v>
      </c>
      <c r="AD12" s="19" t="n">
        <f aca="false">AD10*AD11</f>
        <v>0</v>
      </c>
      <c r="AE12" s="19" t="n">
        <f aca="false">AE10*AE11</f>
        <v>0</v>
      </c>
      <c r="AF12" s="19" t="n">
        <f aca="false">AF10*AF11</f>
        <v>0</v>
      </c>
      <c r="AG12" s="19" t="n">
        <f aca="false">AG10*AG11</f>
        <v>0</v>
      </c>
      <c r="AH12" s="19" t="n">
        <f aca="false">AH10*AH11</f>
        <v>0</v>
      </c>
      <c r="AI12" s="19" t="n">
        <f aca="false">AI10*AI11</f>
        <v>0</v>
      </c>
      <c r="AJ12" s="19" t="n">
        <f aca="false">AJ10*AJ11</f>
        <v>0</v>
      </c>
      <c r="AK12" s="19" t="n">
        <f aca="false">AK10*AK11</f>
        <v>0</v>
      </c>
      <c r="AL12" s="19" t="n">
        <f aca="false">AL10*AL11</f>
        <v>0</v>
      </c>
      <c r="AM12" s="19" t="n">
        <f aca="false">AM10*AM11</f>
        <v>0</v>
      </c>
      <c r="AN12" s="19" t="n">
        <f aca="false">AN10*AN11</f>
        <v>0</v>
      </c>
      <c r="AO12" s="19" t="n">
        <f aca="false">AO10*AO11</f>
        <v>0</v>
      </c>
      <c r="AP12" s="19" t="n">
        <f aca="false">AP10*AP11</f>
        <v>0</v>
      </c>
      <c r="AQ12" s="19" t="n">
        <f aca="false">AQ10*AQ11</f>
        <v>0</v>
      </c>
      <c r="AR12" s="19" t="n">
        <f aca="false">AR10*AR11</f>
        <v>0</v>
      </c>
      <c r="AS12" s="19" t="n">
        <f aca="false">AS10*AS11</f>
        <v>0</v>
      </c>
      <c r="AT12" s="19" t="n">
        <f aca="false">AT10*AT11</f>
        <v>0</v>
      </c>
      <c r="AU12" s="19" t="n">
        <f aca="false">AU10*AU11</f>
        <v>0</v>
      </c>
      <c r="AV12" s="19" t="n">
        <f aca="false">AV10*AV11</f>
        <v>0</v>
      </c>
      <c r="AW12" s="19" t="n">
        <f aca="false">AW10*AW11</f>
        <v>0</v>
      </c>
      <c r="AX12" s="19" t="n">
        <f aca="false">AX10*AX11</f>
        <v>0</v>
      </c>
      <c r="AY12" s="19" t="n">
        <f aca="false">AY10*AY11</f>
        <v>0</v>
      </c>
      <c r="AZ12" s="19" t="n">
        <f aca="false">AZ10*AZ11</f>
        <v>0</v>
      </c>
      <c r="BA12" s="19" t="n">
        <f aca="false">BA10*BA11</f>
        <v>0</v>
      </c>
      <c r="BB12" s="19" t="n">
        <f aca="false">BB10*BB11</f>
        <v>0</v>
      </c>
      <c r="BC12" s="19" t="n">
        <f aca="false">BC10*BC11</f>
        <v>0</v>
      </c>
      <c r="BD12" s="19" t="n">
        <f aca="false">BD10*BD11</f>
        <v>0</v>
      </c>
      <c r="BE12" s="19" t="n">
        <f aca="false">BE10*BE11</f>
        <v>0</v>
      </c>
      <c r="BF12" s="19" t="n">
        <f aca="false">BF10*BF11</f>
        <v>0</v>
      </c>
      <c r="BG12" s="19" t="n">
        <f aca="false">BG10*BG11</f>
        <v>0</v>
      </c>
      <c r="BH12" s="19" t="n">
        <f aca="false">BH10*BH11</f>
        <v>0</v>
      </c>
      <c r="BI12" s="19" t="n">
        <f aca="false">BI10*BI11</f>
        <v>0</v>
      </c>
    </row>
    <row r="13" customFormat="false" ht="15" hidden="false" customHeight="false" outlineLevel="0" collapsed="false">
      <c r="A13" s="20" t="s">
        <v>170</v>
      </c>
      <c r="B13" s="19" t="n">
        <f aca="false">SUM($B$12:B12)</f>
        <v>0</v>
      </c>
      <c r="C13" s="19" t="n">
        <f aca="false">SUM($B$12:C12)</f>
        <v>0</v>
      </c>
      <c r="D13" s="19" t="n">
        <f aca="false">SUM($B$12:D12)</f>
        <v>0</v>
      </c>
      <c r="E13" s="19" t="n">
        <f aca="false">SUM($B$12:E12)</f>
        <v>0</v>
      </c>
      <c r="F13" s="19" t="n">
        <f aca="false">SUM($B$12:F12)</f>
        <v>0</v>
      </c>
      <c r="G13" s="19" t="n">
        <f aca="false">SUM($B$12:G12)</f>
        <v>0</v>
      </c>
      <c r="H13" s="19" t="n">
        <f aca="false">SUM($B$12:H12)</f>
        <v>0</v>
      </c>
      <c r="I13" s="19" t="n">
        <f aca="false">SUM($B$12:I12)</f>
        <v>0</v>
      </c>
      <c r="J13" s="19" t="n">
        <f aca="false">SUM($B$12:J12)</f>
        <v>0</v>
      </c>
      <c r="K13" s="19" t="n">
        <f aca="false">SUM($B$12:K12)</f>
        <v>0</v>
      </c>
      <c r="L13" s="19" t="n">
        <f aca="false">SUM($B$12:L12)</f>
        <v>0</v>
      </c>
      <c r="M13" s="19" t="n">
        <f aca="false">SUM($B$12:M12)</f>
        <v>0</v>
      </c>
      <c r="N13" s="19" t="n">
        <f aca="false">SUM($B$12:N12)</f>
        <v>0</v>
      </c>
      <c r="O13" s="19" t="n">
        <f aca="false">SUM($B$12:O12)</f>
        <v>0</v>
      </c>
      <c r="P13" s="19" t="n">
        <f aca="false">SUM($B$12:P12)</f>
        <v>0</v>
      </c>
      <c r="Q13" s="19" t="n">
        <f aca="false">SUM($B$12:Q12)</f>
        <v>0</v>
      </c>
      <c r="R13" s="19" t="n">
        <f aca="false">SUM($B$12:R12)</f>
        <v>0</v>
      </c>
      <c r="S13" s="19" t="n">
        <f aca="false">SUM($B$12:S12)</f>
        <v>0</v>
      </c>
      <c r="T13" s="19" t="n">
        <f aca="false">SUM($B$12:T12)</f>
        <v>0</v>
      </c>
      <c r="U13" s="19" t="n">
        <f aca="false">SUM($B$12:U12)</f>
        <v>0</v>
      </c>
      <c r="V13" s="19" t="n">
        <f aca="false">SUM($B$12:V12)</f>
        <v>0</v>
      </c>
      <c r="W13" s="19" t="n">
        <f aca="false">SUM($B$12:W12)</f>
        <v>0</v>
      </c>
      <c r="X13" s="19" t="n">
        <f aca="false">SUM($B$12:X12)</f>
        <v>0</v>
      </c>
      <c r="Y13" s="19" t="n">
        <f aca="false">SUM($B$12:Y12)</f>
        <v>0</v>
      </c>
      <c r="Z13" s="19" t="n">
        <f aca="false">SUM($B$12:Z12)</f>
        <v>0</v>
      </c>
      <c r="AA13" s="19" t="n">
        <f aca="false">SUM($B$12:AA12)</f>
        <v>0</v>
      </c>
      <c r="AB13" s="19" t="n">
        <f aca="false">SUM($B$12:AB12)</f>
        <v>0</v>
      </c>
      <c r="AC13" s="19" t="n">
        <f aca="false">SUM($B$12:AC12)</f>
        <v>0</v>
      </c>
      <c r="AD13" s="19" t="n">
        <f aca="false">SUM($B$12:AD12)</f>
        <v>0</v>
      </c>
      <c r="AE13" s="19" t="n">
        <f aca="false">SUM($B$12:AE12)</f>
        <v>0</v>
      </c>
      <c r="AF13" s="19" t="n">
        <f aca="false">SUM($B$12:AF12)</f>
        <v>0</v>
      </c>
      <c r="AG13" s="19" t="n">
        <f aca="false">SUM($B$12:AG12)</f>
        <v>0</v>
      </c>
      <c r="AH13" s="19" t="n">
        <f aca="false">SUM($B$12:AH12)</f>
        <v>0</v>
      </c>
      <c r="AI13" s="19" t="n">
        <f aca="false">SUM($B$12:AI12)</f>
        <v>0</v>
      </c>
      <c r="AJ13" s="19" t="n">
        <f aca="false">SUM($B$12:AJ12)</f>
        <v>0</v>
      </c>
      <c r="AK13" s="19" t="n">
        <f aca="false">SUM($B$12:AK12)</f>
        <v>0</v>
      </c>
      <c r="AL13" s="19" t="n">
        <f aca="false">SUM($B$12:AL12)</f>
        <v>0</v>
      </c>
      <c r="AM13" s="19" t="n">
        <f aca="false">SUM($B$12:AM12)</f>
        <v>0</v>
      </c>
      <c r="AN13" s="19" t="n">
        <f aca="false">SUM($B$12:AN12)</f>
        <v>0</v>
      </c>
      <c r="AO13" s="19" t="n">
        <f aca="false">SUM($B$12:AO12)</f>
        <v>0</v>
      </c>
      <c r="AP13" s="19" t="n">
        <f aca="false">SUM($B$12:AP12)</f>
        <v>0</v>
      </c>
      <c r="AQ13" s="19" t="n">
        <f aca="false">SUM($B$12:AQ12)</f>
        <v>0</v>
      </c>
      <c r="AR13" s="19" t="n">
        <f aca="false">SUM($B$12:AR12)</f>
        <v>0</v>
      </c>
      <c r="AS13" s="19" t="n">
        <f aca="false">SUM($B$12:AS12)</f>
        <v>0</v>
      </c>
      <c r="AT13" s="19" t="n">
        <f aca="false">SUM($B$12:AT12)</f>
        <v>0</v>
      </c>
      <c r="AU13" s="19" t="n">
        <f aca="false">SUM($B$12:AU12)</f>
        <v>0</v>
      </c>
      <c r="AV13" s="19" t="n">
        <f aca="false">SUM($B$12:AV12)</f>
        <v>0</v>
      </c>
      <c r="AW13" s="19" t="n">
        <f aca="false">SUM($B$12:AW12)</f>
        <v>0</v>
      </c>
      <c r="AX13" s="19" t="n">
        <f aca="false">SUM($B$12:AX12)</f>
        <v>0</v>
      </c>
      <c r="AY13" s="19" t="n">
        <f aca="false">SUM($B$12:AY12)</f>
        <v>0</v>
      </c>
      <c r="AZ13" s="19" t="n">
        <f aca="false">SUM($B$12:AZ12)</f>
        <v>0</v>
      </c>
      <c r="BA13" s="19" t="n">
        <f aca="false">SUM($B$12:BA12)</f>
        <v>0</v>
      </c>
      <c r="BB13" s="19" t="n">
        <f aca="false">SUM($B$12:BB12)</f>
        <v>0</v>
      </c>
      <c r="BC13" s="19" t="n">
        <f aca="false">SUM($B$12:BC12)</f>
        <v>0</v>
      </c>
      <c r="BD13" s="19" t="n">
        <f aca="false">SUM($B$12:BD12)</f>
        <v>0</v>
      </c>
      <c r="BE13" s="19" t="n">
        <f aca="false">SUM($B$12:BE12)</f>
        <v>0</v>
      </c>
      <c r="BF13" s="19" t="n">
        <f aca="false">SUM($B$12:BF12)</f>
        <v>0</v>
      </c>
      <c r="BG13" s="19" t="n">
        <f aca="false">SUM($B$12:BG12)</f>
        <v>0</v>
      </c>
      <c r="BH13" s="19" t="n">
        <f aca="false">SUM($B$12:BH12)</f>
        <v>0</v>
      </c>
      <c r="BI13" s="19" t="n">
        <f aca="false">SUM($B$12:BI12)</f>
        <v>0</v>
      </c>
    </row>
    <row r="14" customFormat="false" ht="15" hidden="false" customHeight="fals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8" t="s">
        <v>171</v>
      </c>
      <c r="B16" s="8"/>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t="s">
        <v>172</v>
      </c>
      <c r="B17" s="19" t="n">
        <f aca="false">SUM(B4:BI4)</f>
        <v>0</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t="s">
        <v>173</v>
      </c>
      <c r="B18" s="19" t="n">
        <f aca="false">SUM(B5:BI5)</f>
        <v>0</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t="s">
        <v>174</v>
      </c>
      <c r="B19" s="19" t="n">
        <f aca="false">SUM(B6:BI6)</f>
        <v>0</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t="s">
        <v>175</v>
      </c>
      <c r="B20" s="19" t="n">
        <f aca="false">SUM(B7:BI7)</f>
        <v>0</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t="s">
        <v>176</v>
      </c>
      <c r="B21" s="19" t="n">
        <f aca="false">SUM(B8:BI8)</f>
        <v>0</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t="s">
        <v>177</v>
      </c>
      <c r="B22" s="19" t="n">
        <f aca="false">SUM(B9:BI9)</f>
        <v>0</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28.35" hidden="false" customHeight="false" outlineLevel="0" collapsed="false">
      <c r="A23" s="2" t="s">
        <v>178</v>
      </c>
      <c r="B23" s="19" t="n">
        <f aca="false">SUM(B12:BI12)</f>
        <v>0</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true" outlineLevel="0" collapsed="false">
      <c r="A25" s="22" t="s">
        <v>179</v>
      </c>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row>
    <row r="26" customFormat="false" ht="15" hidden="false" customHeight="false" outlineLevel="0" collapsed="false">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row>
    <row r="27" customFormat="false" ht="15" hidden="false" customHeight="false" outlineLevel="0" collapsed="false">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row>
    <row r="28" customFormat="false" ht="15" hidden="false" customHeight="false" outlineLevel="0" collapsed="false">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2">
    <mergeCell ref="A1:BI1"/>
    <mergeCell ref="A25:BI2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180</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181</v>
      </c>
      <c r="B3" s="8" t="s">
        <v>105</v>
      </c>
      <c r="C3" s="8" t="s">
        <v>25</v>
      </c>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41.75" hidden="false" customHeight="false" outlineLevel="0" collapsed="false">
      <c r="A4" s="2" t="s">
        <v>182</v>
      </c>
      <c r="B4" s="19" t="n">
        <f aca="false">SUM('DCF Model'!B4:BI4)</f>
        <v>0</v>
      </c>
      <c r="C4" s="2" t="s">
        <v>183</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28.35" hidden="false" customHeight="false" outlineLevel="0" collapsed="false">
      <c r="A5" s="2" t="s">
        <v>184</v>
      </c>
      <c r="B5" s="19" t="n">
        <f aca="false">SUM('DCF Model'!B5:BI5)</f>
        <v>0</v>
      </c>
      <c r="C5" s="2" t="s">
        <v>185</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28.35" hidden="false" customHeight="false" outlineLevel="0" collapsed="false">
      <c r="A6" s="2" t="s">
        <v>186</v>
      </c>
      <c r="B6" s="19" t="n">
        <f aca="false">SUM('DCF Model'!B6:BI6)</f>
        <v>0</v>
      </c>
      <c r="C6" s="2" t="s">
        <v>185</v>
      </c>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28.35" hidden="false" customHeight="false" outlineLevel="0" collapsed="false">
      <c r="A7" s="2" t="s">
        <v>187</v>
      </c>
      <c r="B7" s="19" t="n">
        <f aca="false">SUM('DCF Model'!B7:BI7)</f>
        <v>0</v>
      </c>
      <c r="C7" s="2" t="s">
        <v>185</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s">
        <v>188</v>
      </c>
      <c r="B8" s="19" t="n">
        <f aca="false">SUM('DCF Model'!B8:BI8)</f>
        <v>0</v>
      </c>
      <c r="C8" s="2" t="s">
        <v>185</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28.35" hidden="false" customHeight="false" outlineLevel="0" collapsed="false">
      <c r="A9" s="2" t="s">
        <v>189</v>
      </c>
      <c r="B9" s="19" t="n">
        <f aca="false">SUM('DCF Model'!B9:BI9)</f>
        <v>0</v>
      </c>
      <c r="C9" s="2" t="s">
        <v>185</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28.35" hidden="false" customHeight="false" outlineLevel="0" collapsed="false">
      <c r="A10" s="2" t="s">
        <v>190</v>
      </c>
      <c r="B10" s="19" t="n">
        <f aca="false">'DCF Model'!B23</f>
        <v>0</v>
      </c>
      <c r="C10" s="2" t="s">
        <v>191</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28.35" hidden="false" customHeight="false" outlineLevel="0" collapsed="false">
      <c r="A11" s="2" t="s">
        <v>192</v>
      </c>
      <c r="B11" s="16" t="n">
        <f aca="false">IF(B4&gt;0,1-B10/B4,0)</f>
        <v>0</v>
      </c>
      <c r="C11" s="2" t="s">
        <v>193</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28.35" hidden="false" customHeight="false" outlineLevel="0" collapsed="false">
      <c r="A12" s="2" t="s">
        <v>194</v>
      </c>
      <c r="B12" s="23" t="n">
        <f aca="false">IFERROR(LOOKUP(2,1/('Absorption Schedule'!D4:D63&gt;0),'Absorption Schedule'!A4:A63),0)</f>
        <v>0</v>
      </c>
      <c r="C12" s="2" t="s">
        <v>195</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28.35" hidden="false" customHeight="false" outlineLevel="0" collapsed="false">
      <c r="A13" s="2" t="s">
        <v>153</v>
      </c>
      <c r="B13" s="16" t="n">
        <f aca="false">'Discount Rate Support'!C13</f>
        <v>0</v>
      </c>
      <c r="C13" s="2" t="s">
        <v>196</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28.35" hidden="false" customHeight="false" outlineLevel="0" collapsed="false">
      <c r="A14" s="2" t="s">
        <v>85</v>
      </c>
      <c r="B14" s="24" t="n">
        <f aca="false">'Market Assumptions'!B6</f>
        <v>0</v>
      </c>
      <c r="C14" s="2" t="s">
        <v>197</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22"/>
  </cols>
  <sheetData>
    <row r="1" customFormat="false" ht="30" hidden="false" customHeight="true" outlineLevel="0" collapsed="false">
      <c r="A1" s="1" t="s">
        <v>198</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21.75" hidden="false" customHeight="true" outlineLevel="0" collapsed="false">
      <c r="A3" s="7" t="s">
        <v>199</v>
      </c>
      <c r="B3" s="7"/>
      <c r="C3" s="7"/>
      <c r="D3" s="7"/>
      <c r="E3" s="7"/>
      <c r="F3" s="7"/>
      <c r="G3" s="7"/>
      <c r="H3" s="7"/>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8" t="s">
        <v>200</v>
      </c>
      <c r="B4" s="8" t="s">
        <v>201</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5" t="n">
        <v>-0.02</v>
      </c>
      <c r="B5" s="19" t="n">
        <f aca="false">SUMPRODUCT('DCF Model'!$B$10:$BI$10,1/(1+('Discount Rate Support'!$C$13+A5)/12)^'DCF Model'!$B$3:$BI$3)</f>
        <v>0</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5" t="n">
        <v>-0.01</v>
      </c>
      <c r="B6" s="19" t="n">
        <f aca="false">SUMPRODUCT('DCF Model'!$B$10:$BI$10,1/(1+('Discount Rate Support'!$C$13+A6)/12)^'DCF Model'!$B$3:$BI$3)</f>
        <v>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5" t="n">
        <v>0</v>
      </c>
      <c r="B7" s="19" t="n">
        <f aca="false">SUMPRODUCT('DCF Model'!$B$10:$BI$10,1/(1+('Discount Rate Support'!$C$13+A7)/12)^'DCF Model'!$B$3:$BI$3)</f>
        <v>0</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5" t="n">
        <v>0.01</v>
      </c>
      <c r="B8" s="19" t="n">
        <f aca="false">SUMPRODUCT('DCF Model'!$B$10:$BI$10,1/(1+('Discount Rate Support'!$C$13+A8)/12)^'DCF Model'!$B$3:$BI$3)</f>
        <v>0</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5" t="n">
        <v>0.02</v>
      </c>
      <c r="B9" s="19" t="n">
        <f aca="false">SUMPRODUCT('DCF Model'!$B$10:$BI$10,1/(1+('Discount Rate Support'!$C$13+A9)/12)^'DCF Model'!$B$3:$BI$3)</f>
        <v>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21.75" hidden="false" customHeight="true" outlineLevel="0" collapsed="false">
      <c r="A12" s="7" t="s">
        <v>202</v>
      </c>
      <c r="B12" s="7"/>
      <c r="C12" s="7"/>
      <c r="D12" s="7"/>
      <c r="E12" s="7"/>
      <c r="F12" s="7"/>
      <c r="G12" s="7"/>
      <c r="H12" s="7"/>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8" t="s">
        <v>203</v>
      </c>
      <c r="B13" s="8" t="s">
        <v>201</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5" t="n">
        <v>-0.1</v>
      </c>
      <c r="B14" s="19" t="n">
        <f aca="false">SUMPRODUCT(('DCF Model'!$B$4:$BI$4*(1+A14)-'DCF Model'!$B$5:$BI$5-'DCF Model'!$B$6:$BI$6-('DCF Model'!$B$4:$BI$4*(1+A14)*'Market Assumptions'!$B$7)-'DCF Model'!$B$8:$BI$8-('DCF Model'!$B$4:$BI$4*(1+A14)*'Market Assumptions'!$B$8)), 'DCF Model'!$B$11:$BI$11)</f>
        <v>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5" t="n">
        <v>-0.05</v>
      </c>
      <c r="B15" s="19" t="n">
        <f aca="false">SUMPRODUCT(('DCF Model'!$B$4:$BI$4*(1+A15)-'DCF Model'!$B$5:$BI$5-'DCF Model'!$B$6:$BI$6-('DCF Model'!$B$4:$BI$4*(1+A15)*'Market Assumptions'!$B$7)-'DCF Model'!$B$8:$BI$8-('DCF Model'!$B$4:$BI$4*(1+A15)*'Market Assumptions'!$B$8)), 'DCF Model'!$B$11:$BI$11)</f>
        <v>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5" t="n">
        <v>0</v>
      </c>
      <c r="B16" s="19" t="n">
        <f aca="false">SUMPRODUCT(('DCF Model'!$B$4:$BI$4*(1+A16)-'DCF Model'!$B$5:$BI$5-'DCF Model'!$B$6:$BI$6-('DCF Model'!$B$4:$BI$4*(1+A16)*'Market Assumptions'!$B$7)-'DCF Model'!$B$8:$BI$8-('DCF Model'!$B$4:$BI$4*(1+A16)*'Market Assumptions'!$B$8)), 'DCF Model'!$B$11:$BI$11)</f>
        <v>0</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5" t="n">
        <v>0.05</v>
      </c>
      <c r="B17" s="19" t="n">
        <f aca="false">SUMPRODUCT(('DCF Model'!$B$4:$BI$4*(1+A17)-'DCF Model'!$B$5:$BI$5-'DCF Model'!$B$6:$BI$6-('DCF Model'!$B$4:$BI$4*(1+A17)*'Market Assumptions'!$B$7)-'DCF Model'!$B$8:$BI$8-('DCF Model'!$B$4:$BI$4*(1+A17)*'Market Assumptions'!$B$8)), 'DCF Model'!$B$11:$BI$11)</f>
        <v>0</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5" t="n">
        <v>0.1</v>
      </c>
      <c r="B18" s="19" t="n">
        <f aca="false">SUMPRODUCT(('DCF Model'!$B$4:$BI$4*(1+A18)-'DCF Model'!$B$5:$BI$5-'DCF Model'!$B$6:$BI$6-('DCF Model'!$B$4:$BI$4*(1+A18)*'Market Assumptions'!$B$7)-'DCF Model'!$B$8:$BI$8-('DCF Model'!$B$4:$BI$4*(1+A18)*'Market Assumptions'!$B$8)), 'DCF Model'!$B$11:$BI$11)</f>
        <v>0</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21.75" hidden="false" customHeight="true" outlineLevel="0" collapsed="false">
      <c r="A21" s="7" t="s">
        <v>204</v>
      </c>
      <c r="B21" s="7"/>
      <c r="C21" s="7"/>
      <c r="D21" s="7"/>
      <c r="E21" s="7"/>
      <c r="F21" s="7"/>
      <c r="G21" s="7"/>
      <c r="H21" s="7"/>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8" t="s">
        <v>205</v>
      </c>
      <c r="B22" s="8" t="s">
        <v>206</v>
      </c>
      <c r="C22" s="8" t="s">
        <v>61</v>
      </c>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55.2" hidden="false" customHeight="false" outlineLevel="0" collapsed="false">
      <c r="A23" s="2" t="s">
        <v>207</v>
      </c>
      <c r="B23" s="2" t="s">
        <v>208</v>
      </c>
      <c r="C23" s="1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t="s">
        <v>209</v>
      </c>
      <c r="B24" s="2" t="s">
        <v>210</v>
      </c>
      <c r="C24" s="12" t="n">
        <f aca="false">'Bulk Sale Analysis'!B11</f>
        <v>0</v>
      </c>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55.2" hidden="false" customHeight="false" outlineLevel="0" collapsed="false">
      <c r="A25" s="2" t="s">
        <v>211</v>
      </c>
      <c r="B25" s="2" t="s">
        <v>212</v>
      </c>
      <c r="C25" s="1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82.05" hidden="false" customHeight="false" outlineLevel="0" collapsed="false">
      <c r="A26" s="2" t="s">
        <v>213</v>
      </c>
      <c r="B26" s="2" t="s">
        <v>214</v>
      </c>
      <c r="C26" s="4"/>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t="s">
        <v>215</v>
      </c>
      <c r="B27" s="2"/>
      <c r="C27" s="4"/>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4">
    <mergeCell ref="A1:H1"/>
    <mergeCell ref="A3:H3"/>
    <mergeCell ref="A12:H12"/>
    <mergeCell ref="A21:H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8"/>
    <col collapsed="false" customWidth="true" hidden="false" outlineLevel="0" max="8" min="3" style="0" width="22"/>
  </cols>
  <sheetData>
    <row r="1" customFormat="false" ht="30" hidden="false" customHeight="true" outlineLevel="0" collapsed="false">
      <c r="A1" s="1" t="s">
        <v>216</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217</v>
      </c>
      <c r="B3" s="8" t="s">
        <v>218</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t="s">
        <v>11</v>
      </c>
      <c r="B4" s="15" t="n">
        <f aca="false">'Property Info'!B4</f>
        <v>0</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15" hidden="false" customHeight="false" outlineLevel="0" collapsed="false">
      <c r="A5" s="2" t="s">
        <v>14</v>
      </c>
      <c r="B5" s="26" t="n">
        <f aca="false">'Property Info'!B7</f>
        <v>46210</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15" hidden="false" customHeight="false" outlineLevel="0" collapsed="false">
      <c r="A6" s="2" t="s">
        <v>70</v>
      </c>
      <c r="B6" s="24" t="n">
        <f aca="false">'Property Info'!B12</f>
        <v>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15" hidden="false" customHeight="false" outlineLevel="0" collapsed="false">
      <c r="A7" s="2" t="s">
        <v>85</v>
      </c>
      <c r="B7" s="24" t="n">
        <f aca="false">'Market Assumptions'!B6</f>
        <v>0</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15" hidden="false" customHeight="false" outlineLevel="0" collapsed="false">
      <c r="A8" s="2" t="s">
        <v>194</v>
      </c>
      <c r="B8" s="24" t="n">
        <f aca="false">'Bulk Sale Analysis'!B12</f>
        <v>0</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15" hidden="false" customHeight="false" outlineLevel="0" collapsed="false">
      <c r="A9" s="2" t="s">
        <v>182</v>
      </c>
      <c r="B9" s="19" t="n">
        <f aca="false">'Bulk Sale Analysis'!B4</f>
        <v>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153</v>
      </c>
      <c r="B10" s="16" t="n">
        <f aca="false">'Bulk Sale Analysis'!B13</f>
        <v>0</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178</v>
      </c>
      <c r="B11" s="19" t="n">
        <f aca="false">'Bulk Sale Analysis'!B10</f>
        <v>0</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15" hidden="false" customHeight="false" outlineLevel="0" collapsed="false">
      <c r="A12" s="2" t="s">
        <v>192</v>
      </c>
      <c r="B12" s="16" t="n">
        <f aca="false">'Bulk Sale Analysis'!B11</f>
        <v>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115</v>
      </c>
      <c r="B13" s="19" t="n">
        <f aca="false">'Development Costs'!B14</f>
        <v>0</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 t="s">
        <v>124</v>
      </c>
      <c r="B14" s="19" t="n">
        <f aca="false">'Development Costs'!B26</f>
        <v>0</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t="s">
        <v>219</v>
      </c>
      <c r="B15" s="4" t="s">
        <v>220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22"/>
    <col collapsed="false" customWidth="true" hidden="false" outlineLevel="0" max="4" min="4" style="0" width="40"/>
    <col collapsed="false" customWidth="true" hidden="false" outlineLevel="0" max="8" min="5" style="0" width="22"/>
  </cols>
  <sheetData>
    <row r="1" customFormat="false" ht="30" hidden="false" customHeight="true" outlineLevel="0" collapsed="false">
      <c r="A1" s="1" t="s">
        <v>221</v>
      </c>
      <c r="B1" s="1"/>
      <c r="C1" s="1"/>
      <c r="D1" s="1"/>
      <c r="E1" s="1"/>
      <c r="F1" s="1"/>
      <c r="G1" s="1"/>
      <c r="H1" s="1"/>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row>
    <row r="2" customFormat="false" ht="15" hidden="false" customHeight="false" outlineLevel="0" collapsed="false">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row>
    <row r="3" customFormat="false" ht="15" hidden="false" customHeight="false" outlineLevel="0" collapsed="false">
      <c r="A3" s="8" t="s">
        <v>222</v>
      </c>
      <c r="B3" s="8" t="s">
        <v>223</v>
      </c>
      <c r="C3" s="8" t="s">
        <v>224</v>
      </c>
      <c r="D3" s="8" t="s">
        <v>225</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row>
    <row r="4" customFormat="false" ht="15" hidden="false" customHeight="false" outlineLevel="0" collapsed="false">
      <c r="A4" s="2" t="s">
        <v>226</v>
      </c>
      <c r="B4" s="15" t="str">
        <f aca="false">IF('Property Info'!B12&gt;0,"OK","Missing")</f>
        <v>Missing</v>
      </c>
      <c r="C4" s="15" t="s">
        <v>227</v>
      </c>
      <c r="D4" s="4"/>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row>
    <row r="5" customFormat="false" ht="28.35" hidden="false" customHeight="false" outlineLevel="0" collapsed="false">
      <c r="A5" s="2" t="s">
        <v>228</v>
      </c>
      <c r="B5" s="15" t="str">
        <f aca="false">IF('Market Assumptions'!B4&gt;0,"OK","Missing")</f>
        <v>Missing</v>
      </c>
      <c r="C5" s="15" t="s">
        <v>229</v>
      </c>
      <c r="D5" s="4"/>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row>
    <row r="6" customFormat="false" ht="28.35" hidden="false" customHeight="false" outlineLevel="0" collapsed="false">
      <c r="A6" s="2" t="s">
        <v>230</v>
      </c>
      <c r="B6" s="15" t="str">
        <f aca="false">IF('Market Assumptions'!B6&gt;0,"OK","Missing")</f>
        <v>Missing</v>
      </c>
      <c r="C6" s="15" t="s">
        <v>231</v>
      </c>
      <c r="D6" s="4"/>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row>
    <row r="7" customFormat="false" ht="28.35" hidden="false" customHeight="false" outlineLevel="0" collapsed="false">
      <c r="A7" s="2" t="s">
        <v>232</v>
      </c>
      <c r="B7" s="15" t="str">
        <f aca="false">IF('Discount Rate Support'!C13&gt;0,"OK","Missing")</f>
        <v>Missing</v>
      </c>
      <c r="C7" s="15" t="s">
        <v>233</v>
      </c>
      <c r="D7" s="4"/>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customFormat="false" ht="28.35" hidden="false" customHeight="false" outlineLevel="0" collapsed="false">
      <c r="A8" s="2" t="s">
        <v>234</v>
      </c>
      <c r="B8" s="15" t="str">
        <f aca="false">"Reviewer"</f>
        <v>Reviewer</v>
      </c>
      <c r="C8" s="15" t="s">
        <v>235</v>
      </c>
      <c r="D8" s="4"/>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row>
    <row r="9" customFormat="false" ht="28.35" hidden="false" customHeight="false" outlineLevel="0" collapsed="false">
      <c r="A9" s="2" t="s">
        <v>236</v>
      </c>
      <c r="B9" s="15" t="str">
        <f aca="false">"Reviewer"</f>
        <v>Reviewer</v>
      </c>
      <c r="C9" s="15" t="s">
        <v>235</v>
      </c>
      <c r="D9" s="4"/>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row>
    <row r="10" customFormat="false" ht="15" hidden="false" customHeight="false" outlineLevel="0" collapsed="false">
      <c r="A10" s="2" t="s">
        <v>237</v>
      </c>
      <c r="B10" s="15" t="str">
        <f aca="false">"Reviewer"</f>
        <v>Reviewer</v>
      </c>
      <c r="C10" s="15" t="s">
        <v>238</v>
      </c>
      <c r="D10" s="4"/>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row>
    <row r="11" customFormat="false" ht="15" hidden="false" customHeight="false" outlineLevel="0" collapsed="false">
      <c r="A11" s="2" t="s">
        <v>239</v>
      </c>
      <c r="B11" s="15" t="str">
        <f aca="false">IF('Bulk Sale Analysis'!B11&lt;&gt;0,"OK","Check")</f>
        <v>Check</v>
      </c>
      <c r="C11" s="15" t="s">
        <v>240</v>
      </c>
      <c r="D11" s="4"/>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row>
    <row r="12" customFormat="false" ht="28.35" hidden="false" customHeight="false" outlineLevel="0" collapsed="false">
      <c r="A12" s="2" t="s">
        <v>241</v>
      </c>
      <c r="B12" s="15" t="str">
        <f aca="false">"Reviewer"</f>
        <v>Reviewer</v>
      </c>
      <c r="C12" s="15" t="s">
        <v>242</v>
      </c>
      <c r="D12" s="4"/>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row>
    <row r="13" customFormat="false" ht="15" hidden="false" customHeight="false" outlineLevel="0" collapsed="false">
      <c r="A13" s="2" t="s">
        <v>243</v>
      </c>
      <c r="B13" s="15" t="str">
        <f aca="false">"Reviewer"</f>
        <v>Reviewer</v>
      </c>
      <c r="C13" s="15" t="s">
        <v>244</v>
      </c>
      <c r="D13" s="4"/>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row>
    <row r="14" customFormat="false" ht="15" hidden="false" customHeight="false" outlineLevel="0" collapsed="false">
      <c r="A14" s="2" t="s">
        <v>245</v>
      </c>
      <c r="B14" s="15" t="str">
        <f aca="false">"Reviewer"</f>
        <v>Reviewer</v>
      </c>
      <c r="C14" s="15" t="s">
        <v>246</v>
      </c>
      <c r="D14" s="4"/>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row>
    <row r="15" customFormat="false" ht="15" hidden="false" customHeight="false" outlineLevel="0" collapsed="false">
      <c r="A15" s="2" t="s">
        <v>247</v>
      </c>
      <c r="B15" s="15" t="str">
        <f aca="false">"Reviewer"</f>
        <v>Reviewer</v>
      </c>
      <c r="C15" s="15" t="s">
        <v>248</v>
      </c>
      <c r="D15" s="4"/>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row>
    <row r="16" customFormat="false" ht="15" hidden="false" customHeight="false" outlineLevel="0" collapsed="false">
      <c r="A16" s="2" t="s">
        <v>249</v>
      </c>
      <c r="B16" s="15" t="str">
        <f aca="false">"Reviewer"</f>
        <v>Reviewer</v>
      </c>
      <c r="C16" s="15" t="s">
        <v>250</v>
      </c>
      <c r="D16" s="4"/>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row>
    <row r="17" customFormat="false" ht="15" hidden="false" customHeight="fals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row>
    <row r="18" customFormat="false" ht="1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row>
    <row r="19" customFormat="false" ht="1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row>
    <row r="20" customFormat="false" ht="1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row>
    <row r="21" customFormat="false" ht="1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row>
    <row r="22" customFormat="false" ht="1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row>
    <row r="23" customFormat="false" ht="1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row>
    <row r="24" customFormat="false" ht="1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row>
    <row r="25" customFormat="false" ht="1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row>
    <row r="26" customFormat="false" ht="1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row>
    <row r="27" customFormat="false" ht="1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row>
    <row r="28" customFormat="false" ht="1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row>
    <row r="29" customFormat="false" ht="1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row>
    <row r="30" customFormat="false" ht="1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row>
    <row r="31" customFormat="false" ht="1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row>
    <row r="32" customFormat="false" ht="1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row>
    <row r="33" customFormat="false" ht="1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row>
    <row r="34" customFormat="false" ht="1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row>
    <row r="35" customFormat="false" ht="1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row>
    <row r="36" customFormat="false" ht="1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row>
    <row r="37" customFormat="false" ht="1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row>
    <row r="38" customFormat="false" ht="1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row>
    <row r="39" customFormat="false" ht="1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row>
    <row r="40" customFormat="false" ht="1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row>
    <row r="41" customFormat="false" ht="1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row>
    <row r="42" customFormat="false" ht="1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row>
    <row r="43" customFormat="false" ht="1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row>
    <row r="44" customFormat="false" ht="1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row>
    <row r="45" customFormat="false" ht="1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row>
    <row r="46" customFormat="false" ht="1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row>
    <row r="47" customFormat="false" ht="1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row>
    <row r="48" customFormat="false" ht="1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row>
    <row r="49" customFormat="false" ht="1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row>
    <row r="50" customFormat="false" ht="1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row>
    <row r="51" customFormat="false" ht="1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row>
    <row r="52" customFormat="false" ht="1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row>
    <row r="53" customFormat="false" ht="1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row>
    <row r="54" customFormat="false" ht="1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row>
    <row r="55" customFormat="false" ht="1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row>
    <row r="56" customFormat="false" ht="1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row>
    <row r="57" customFormat="false" ht="1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row>
    <row r="58" customFormat="false" ht="1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row>
    <row r="59" customFormat="false" ht="1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row>
    <row r="60" customFormat="false" ht="1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row>
    <row r="61" customFormat="false" ht="1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row>
    <row r="62" customFormat="false" ht="1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row>
    <row r="63" customFormat="false" ht="1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row>
    <row r="64" customFormat="false" ht="1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row>
    <row r="65" customFormat="false" ht="1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row>
    <row r="66" customFormat="false" ht="1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row>
    <row r="67" customFormat="false" ht="1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row>
    <row r="68" customFormat="false" ht="1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row>
    <row r="69" customFormat="false" ht="1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row>
    <row r="70" customFormat="false" ht="1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row>
    <row r="71" customFormat="false" ht="1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row>
    <row r="72" customFormat="false" ht="1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row>
    <row r="73" customFormat="false" ht="1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row>
    <row r="74" customFormat="false" ht="1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row>
    <row r="75" customFormat="false" ht="1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row>
    <row r="76" customFormat="false" ht="1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row>
    <row r="77" customFormat="false" ht="1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row>
    <row r="78" customFormat="false" ht="1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row>
    <row r="79" customFormat="false" ht="1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row>
    <row r="80" customFormat="false" ht="1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row>
    <row r="81" customFormat="false" ht="1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row>
    <row r="82" customFormat="false" ht="1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row>
    <row r="83" customFormat="false" ht="1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row>
    <row r="84" customFormat="false" ht="1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row>
    <row r="85" customFormat="false" ht="1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row>
    <row r="86" customFormat="false" ht="1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row>
    <row r="87" customFormat="false" ht="1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row>
    <row r="88" customFormat="false" ht="1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row>
    <row r="89" customFormat="false" ht="1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row>
    <row r="90" customFormat="false" ht="1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row>
    <row r="91" customFormat="false" ht="1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row>
    <row r="92" customFormat="false" ht="1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row>
    <row r="93" customFormat="false" ht="1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row>
    <row r="94" customFormat="false" ht="1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row>
    <row r="95" customFormat="false" ht="1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row>
    <row r="96" customFormat="false" ht="1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row>
    <row r="97" customFormat="false" ht="1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row>
    <row r="98" customFormat="false" ht="1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row>
    <row r="99" customFormat="false" ht="1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row>
    <row r="100" customFormat="false" ht="1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2026-07-11T13:53:46Z</dcterms:created>
  <dc:creator>openpyxl</dc:creator>
  <dc:description/>
  <dc:language>en-US</dc:language>
  <cp:lastModifiedBy/>
  <dcterms:modified xsi:type="dcterms:W3CDTF">2026-07-11T13:53:53Z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