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Instructions" sheetId="2" state="visible" r:id="rId4"/>
    <sheet name="Property Info" sheetId="3" state="visible" r:id="rId5"/>
    <sheet name="Market Assumptions" sheetId="4" state="visible" r:id="rId6"/>
    <sheet name="Development Costs" sheetId="5" state="visible" r:id="rId7"/>
    <sheet name="Holding Costs" sheetId="6" state="visible" r:id="rId8"/>
    <sheet name="Discount Rate Support" sheetId="7" state="visible" r:id="rId9"/>
    <sheet name="Absorption Schedule" sheetId="8" state="visible" r:id="rId10"/>
    <sheet name="DCF Model" sheetId="9" state="visible" r:id="rId11"/>
    <sheet name="Bulk Sale Analysis" sheetId="10" state="visible" r:id="rId12"/>
    <sheet name="Sensitivity Tables" sheetId="11" state="visible" r:id="rId13"/>
    <sheet name="Report Exhibits" sheetId="12" state="visible" r:id="rId14"/>
    <sheet name="Reviewer Checks" sheetId="13" state="visible" r:id="rId1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<sst xmlns="http://schemas.openxmlformats.org/spreadsheetml/2006/main" count="306" uniqueCount="251">
  <si>
    <t xml:space="preserve">INSITE Standard Discounted Cash Flow &amp; Bulk Sale Analysis Workbook</t>
  </si>
  <si>
    <t xml:space="preserve">Workbook Publication</t>
  </si>
  <si>
    <t xml:space="preserve">INS-102A</t>
  </si>
  <si>
    <t xml:space="preserve">Workbook Version</t>
  </si>
  <si>
    <t xml:space="preserve">Version 1.1 (corrected July 2026)</t>
  </si>
  <si>
    <t xml:space="preserve">Prepared For</t>
  </si>
  <si>
    <t xml:space="preserve">INSITE Development Impact Fee Financing Program</t>
  </si>
  <si>
    <t xml:space="preserve">Program Administrator</t>
  </si>
  <si>
    <t xml:space="preserve">HGF Management Company</t>
  </si>
  <si>
    <t xml:space="preserve">Workbook Purpose</t>
  </si>
  <si>
    <t xml:space="preserve">Standardized DCF and Bulk Sale Analysis for INSITE appraisal assignments</t>
  </si>
  <si>
    <t xml:space="preserve">Property Name</t>
  </si>
  <si>
    <t xml:space="preserve">County</t>
  </si>
  <si>
    <t xml:space="preserve">Appraiser</t>
  </si>
  <si>
    <t xml:space="preserve">Effective Date of Value</t>
  </si>
  <si>
    <t xml:space="preserve">Report Date</t>
  </si>
  <si>
    <t xml:space="preserve">Reviewed By</t>
  </si>
  <si>
    <t xml:space="preserve">Revision Notes</t>
  </si>
  <si>
    <t xml:space="preserve">This workbook is intended to standardize the presentation and calculation of discounted cash flow and bulk sale analyses for INSITE appraisal assignments. The appraiser remains responsible for selecting and supporting all inputs, assumptions, and conclusions in accordance with USPAP, CDIAC guidance, and the INSITE Appraisal Standards Manual.</t>
  </si>
  <si>
    <t xml:space="preserve">Workbook Instructions</t>
  </si>
  <si>
    <t xml:space="preserve">Use this workbook when a Bulk Sale Analysis and/or Discounted Cash Flow analysis is required under Chapter 8 of the INSITE Appraisal Standards Manual.</t>
  </si>
  <si>
    <t xml:space="preserve">Color Conventions</t>
  </si>
  <si>
    <t xml:space="preserve">Color / Font</t>
  </si>
  <si>
    <t xml:space="preserve">Meaning</t>
  </si>
  <si>
    <t xml:space="preserve">User Action</t>
  </si>
  <si>
    <t xml:space="preserve">Notes</t>
  </si>
  <si>
    <t xml:space="preserve">Yellow fill + blue font</t>
  </si>
  <si>
    <t xml:space="preserve">Hardcoded input</t>
  </si>
  <si>
    <t xml:space="preserve">Enter or update</t>
  </si>
  <si>
    <t xml:space="preserve">Assumptions must be supported by market evidence.</t>
  </si>
  <si>
    <t xml:space="preserve">Gray fill + black font</t>
  </si>
  <si>
    <t xml:space="preserve">Formula / calculation</t>
  </si>
  <si>
    <t xml:space="preserve">Do not overwrite</t>
  </si>
  <si>
    <t xml:space="preserve">Formula cells are intended to remain protected.</t>
  </si>
  <si>
    <t xml:space="preserve">Green font</t>
  </si>
  <si>
    <t xml:space="preserve">Linked value from another sheet</t>
  </si>
  <si>
    <t xml:space="preserve">Review only</t>
  </si>
  <si>
    <t xml:space="preserve">Trace back to source sheet for support.</t>
  </si>
  <si>
    <t xml:space="preserve">Forest green header</t>
  </si>
  <si>
    <t xml:space="preserve">Section heading</t>
  </si>
  <si>
    <t xml:space="preserve">N/A</t>
  </si>
  <si>
    <t xml:space="preserve">Standard INSITE format.</t>
  </si>
  <si>
    <t xml:space="preserve">Required Workflow</t>
  </si>
  <si>
    <t xml:space="preserve">Step 1</t>
  </si>
  <si>
    <t xml:space="preserve">Complete Property Info.</t>
  </si>
  <si>
    <t xml:space="preserve">Step 2</t>
  </si>
  <si>
    <t xml:space="preserve">Enter Market Assumptions with source/support notes.</t>
  </si>
  <si>
    <t xml:space="preserve">Step 3</t>
  </si>
  <si>
    <t xml:space="preserve">Enter remaining development, soft, holding, and selling costs.</t>
  </si>
  <si>
    <t xml:space="preserve">Step 4</t>
  </si>
  <si>
    <t xml:space="preserve">Complete Discount Rate Support.</t>
  </si>
  <si>
    <t xml:space="preserve">Step 5</t>
  </si>
  <si>
    <t xml:space="preserve">Review Absorption Schedule and DCF Model.</t>
  </si>
  <si>
    <t xml:space="preserve">Step 6</t>
  </si>
  <si>
    <t xml:space="preserve">Review Bulk Sale Analysis and Sensitivity Tables.</t>
  </si>
  <si>
    <t xml:space="preserve">Step 7</t>
  </si>
  <si>
    <t xml:space="preserve">Copy Report Exhibits into the appraisal report.</t>
  </si>
  <si>
    <t xml:space="preserve">Step 8</t>
  </si>
  <si>
    <t xml:space="preserve">Submit workbook with appraisal report and retain in workfile.</t>
  </si>
  <si>
    <t xml:space="preserve">Property Information</t>
  </si>
  <si>
    <t xml:space="preserve">Input</t>
  </si>
  <si>
    <t xml:space="preserve">Value</t>
  </si>
  <si>
    <t xml:space="preserve">Source / Support</t>
  </si>
  <si>
    <t xml:space="preserve">City</t>
  </si>
  <si>
    <t xml:space="preserve">Appraisal engagement / inspection date</t>
  </si>
  <si>
    <t xml:space="preserve">APNs</t>
  </si>
  <si>
    <t xml:space="preserve">List all parcels included.</t>
  </si>
  <si>
    <t xml:space="preserve">Current Owner</t>
  </si>
  <si>
    <t xml:space="preserve">Gross Acres</t>
  </si>
  <si>
    <t xml:space="preserve">Net Developable Acres</t>
  </si>
  <si>
    <t xml:space="preserve">Total Lots / Units</t>
  </si>
  <si>
    <t xml:space="preserve">Used as beginning inventory.</t>
  </si>
  <si>
    <t xml:space="preserve">Current Development Stage</t>
  </si>
  <si>
    <t xml:space="preserve">Raw, entitled, mass graded, blue-top, finished lots, etc.</t>
  </si>
  <si>
    <t xml:space="preserve">Highest &amp; Best Use</t>
  </si>
  <si>
    <t xml:space="preserve">Zoning</t>
  </si>
  <si>
    <t xml:space="preserve">General Plan / Specific Plan</t>
  </si>
  <si>
    <t xml:space="preserve">Existing CFDs / Assessments</t>
  </si>
  <si>
    <t xml:space="preserve">Market Assumptions</t>
  </si>
  <si>
    <t xml:space="preserve">Assumption</t>
  </si>
  <si>
    <t xml:space="preserve">Unit / Format</t>
  </si>
  <si>
    <t xml:space="preserve">Beginning Lot / Unit Sale Price</t>
  </si>
  <si>
    <t xml:space="preserve">$ / lot</t>
  </si>
  <si>
    <t xml:space="preserve">Annual Price Appreciation</t>
  </si>
  <si>
    <t xml:space="preserve">%</t>
  </si>
  <si>
    <t xml:space="preserve">Monthly Absorption</t>
  </si>
  <si>
    <t xml:space="preserve">lots / month</t>
  </si>
  <si>
    <t xml:space="preserve">Marketing &amp; Selling Cost</t>
  </si>
  <si>
    <t xml:space="preserve">% of gross revenue</t>
  </si>
  <si>
    <t xml:space="preserve">Developer Profit / Incentive</t>
  </si>
  <si>
    <t xml:space="preserve">Builder Incentives</t>
  </si>
  <si>
    <t xml:space="preserve">$ / lot or % if separately modeled</t>
  </si>
  <si>
    <t xml:space="preserve">Development Cost Period</t>
  </si>
  <si>
    <t xml:space="preserve">months</t>
  </si>
  <si>
    <t xml:space="preserve">Soft Cost Period</t>
  </si>
  <si>
    <t xml:space="preserve">Analysis Period</t>
  </si>
  <si>
    <t xml:space="preserve">Workbook model currently supports 60 months.</t>
  </si>
  <si>
    <t xml:space="preserve">Cash Flow Frequency</t>
  </si>
  <si>
    <t xml:space="preserve">Monthly</t>
  </si>
  <si>
    <t xml:space="preserve">Primary Market Evidence</t>
  </si>
  <si>
    <t xml:space="preserve">Text</t>
  </si>
  <si>
    <t xml:space="preserve">Market Risk Notes</t>
  </si>
  <si>
    <t xml:space="preserve">Development Costs</t>
  </si>
  <si>
    <t xml:space="preserve">Remaining Hard Costs</t>
  </si>
  <si>
    <t xml:space="preserve">Cost Item</t>
  </si>
  <si>
    <t xml:space="preserve">Amount</t>
  </si>
  <si>
    <t xml:space="preserve">Timing / Notes</t>
  </si>
  <si>
    <t xml:space="preserve">Onsite Improvements</t>
  </si>
  <si>
    <t xml:space="preserve">Offsite Improvements</t>
  </si>
  <si>
    <t xml:space="preserve">Utilities</t>
  </si>
  <si>
    <t xml:space="preserve">Grading</t>
  </si>
  <si>
    <t xml:space="preserve">Storm Drain / Drainage</t>
  </si>
  <si>
    <t xml:space="preserve">Roads / Curbs / Gutters</t>
  </si>
  <si>
    <t xml:space="preserve">Contingency</t>
  </si>
  <si>
    <t xml:space="preserve">Other Hard Costs</t>
  </si>
  <si>
    <t xml:space="preserve">Total Remaining Hard Costs</t>
  </si>
  <si>
    <t xml:space="preserve">Remaining Soft Costs</t>
  </si>
  <si>
    <t xml:space="preserve">Engineering</t>
  </si>
  <si>
    <t xml:space="preserve">Surveying</t>
  </si>
  <si>
    <t xml:space="preserve">Architecture / Planning</t>
  </si>
  <si>
    <t xml:space="preserve">Permitting</t>
  </si>
  <si>
    <t xml:space="preserve">Legal / Administrative</t>
  </si>
  <si>
    <t xml:space="preserve">Environmental</t>
  </si>
  <si>
    <t xml:space="preserve">Other Soft Costs</t>
  </si>
  <si>
    <t xml:space="preserve">Total Remaining Soft Costs</t>
  </si>
  <si>
    <t xml:space="preserve">Monthly Holding Costs</t>
  </si>
  <si>
    <t xml:space="preserve">Monthly Amount</t>
  </si>
  <si>
    <t xml:space="preserve">Property Taxes</t>
  </si>
  <si>
    <t xml:space="preserve">Insurance</t>
  </si>
  <si>
    <t xml:space="preserve">HOA / Maintenance</t>
  </si>
  <si>
    <t xml:space="preserve">Security</t>
  </si>
  <si>
    <t xml:space="preserve">Administrative</t>
  </si>
  <si>
    <t xml:space="preserve">Other Carrying Costs</t>
  </si>
  <si>
    <t xml:space="preserve">Total Monthly Holding Costs</t>
  </si>
  <si>
    <t xml:space="preserve">Annualized Holding Costs</t>
  </si>
  <si>
    <t xml:space="preserve">Holding Cost per Lot / Month</t>
  </si>
  <si>
    <t xml:space="preserve">Discount Rate Support</t>
  </si>
  <si>
    <t xml:space="preserve">Component</t>
  </si>
  <si>
    <t xml:space="preserve">Assessment</t>
  </si>
  <si>
    <t xml:space="preserve">Premium / Rate</t>
  </si>
  <si>
    <t xml:space="preserve">Support / Source</t>
  </si>
  <si>
    <t xml:space="preserve">Base Required Return</t>
  </si>
  <si>
    <t xml:space="preserve">Market input</t>
  </si>
  <si>
    <t xml:space="preserve">Base rate before property-specific risk premiums.</t>
  </si>
  <si>
    <t xml:space="preserve">Market Risk</t>
  </si>
  <si>
    <t xml:space="preserve">Select</t>
  </si>
  <si>
    <t xml:space="preserve">Absorption Risk</t>
  </si>
  <si>
    <t xml:space="preserve">Entitlement Risk</t>
  </si>
  <si>
    <t xml:space="preserve">Development / Infrastructure Risk</t>
  </si>
  <si>
    <t xml:space="preserve">Competition / Supply Risk</t>
  </si>
  <si>
    <t xml:space="preserve">Project Size / Liquidity Risk</t>
  </si>
  <si>
    <t xml:space="preserve">Financing Environment</t>
  </si>
  <si>
    <t xml:space="preserve">Other Risk Adjustment</t>
  </si>
  <si>
    <t xml:space="preserve">Selected Discount Rate</t>
  </si>
  <si>
    <t xml:space="preserve">Absorption Schedule</t>
  </si>
  <si>
    <t xml:space="preserve">Month</t>
  </si>
  <si>
    <t xml:space="preserve">Month End</t>
  </si>
  <si>
    <t xml:space="preserve">Beginning Inventory</t>
  </si>
  <si>
    <t xml:space="preserve">Lots Sold</t>
  </si>
  <si>
    <t xml:space="preserve">Ending Inventory</t>
  </si>
  <si>
    <t xml:space="preserve">Average Sale Price</t>
  </si>
  <si>
    <t xml:space="preserve">Gross Revenue</t>
  </si>
  <si>
    <t xml:space="preserve">Source / Notes</t>
  </si>
  <si>
    <t xml:space="preserve">Discounted Cash Flow Model</t>
  </si>
  <si>
    <t xml:space="preserve">Line Item</t>
  </si>
  <si>
    <t xml:space="preserve">Marketing &amp; Selling Costs</t>
  </si>
  <si>
    <t xml:space="preserve">Holding Costs</t>
  </si>
  <si>
    <t xml:space="preserve">Net Cash Flow</t>
  </si>
  <si>
    <t xml:space="preserve">Discount Factor</t>
  </si>
  <si>
    <t xml:space="preserve">Present Value</t>
  </si>
  <si>
    <t xml:space="preserve">Cumulative Present Value</t>
  </si>
  <si>
    <t xml:space="preserve">DCF Summary</t>
  </si>
  <si>
    <t xml:space="preserve">Total Gross Revenue</t>
  </si>
  <si>
    <t xml:space="preserve">Total Hard Costs</t>
  </si>
  <si>
    <t xml:space="preserve">Total Soft Costs</t>
  </si>
  <si>
    <t xml:space="preserve">Total Marketing Costs</t>
  </si>
  <si>
    <t xml:space="preserve">Total Holding Costs</t>
  </si>
  <si>
    <t xml:space="preserve">Total Developer Profit</t>
  </si>
  <si>
    <t xml:space="preserve">DCF Present Value / Bulk Sale Value</t>
  </si>
  <si>
    <t xml:space="preserve">DCF model note: This model discounts monthly net cash flows derived from projected lot revenue, remaining hard and soft costs, marketing/selling costs, holding costs, and developer profit/incentive. Inputs must be supported in the appraisal report and retained in the workfile.</t>
  </si>
  <si>
    <t xml:space="preserve">Bulk Sale Analysis</t>
  </si>
  <si>
    <t xml:space="preserve">Bulk Sale Component</t>
  </si>
  <si>
    <t xml:space="preserve">Aggregate Retail Value</t>
  </si>
  <si>
    <t xml:space="preserve">Sum of projected gross revenue before deductions.</t>
  </si>
  <si>
    <t xml:space="preserve">Less: Remaining Hard Costs</t>
  </si>
  <si>
    <t xml:space="preserve">From DCF Model.</t>
  </si>
  <si>
    <t xml:space="preserve">Less: Remaining Soft Costs</t>
  </si>
  <si>
    <t xml:space="preserve">Less: Marketing &amp; Selling Costs</t>
  </si>
  <si>
    <t xml:space="preserve">Less: Holding Costs</t>
  </si>
  <si>
    <t xml:space="preserve">Less: Developer Profit / Incentive</t>
  </si>
  <si>
    <t xml:space="preserve">Indicated Bulk Sale Value</t>
  </si>
  <si>
    <t xml:space="preserve">Present value of net cash flows.</t>
  </si>
  <si>
    <t xml:space="preserve">Implied Bulk Sale Discount</t>
  </si>
  <si>
    <t xml:space="preserve">1 - Bulk Sale Value / Aggregate Retail Value.</t>
  </si>
  <si>
    <t xml:space="preserve">Sellout Period</t>
  </si>
  <si>
    <t xml:space="preserve">Last month with positive lot sales.</t>
  </si>
  <si>
    <t xml:space="preserve">From Discount Rate Support.</t>
  </si>
  <si>
    <t xml:space="preserve">From Market Assumptions.</t>
  </si>
  <si>
    <t xml:space="preserve">Sensitivity Tables</t>
  </si>
  <si>
    <t xml:space="preserve">Discount Rate Sensitivity</t>
  </si>
  <si>
    <t xml:space="preserve">Discount Rate</t>
  </si>
  <si>
    <t xml:space="preserve">Indicated Value</t>
  </si>
  <si>
    <t xml:space="preserve">Sales Price Sensitivity</t>
  </si>
  <si>
    <t xml:space="preserve">Sales Price Change</t>
  </si>
  <si>
    <t xml:space="preserve">Absorption Sensitivity</t>
  </si>
  <si>
    <t xml:space="preserve">Absorption Scenario</t>
  </si>
  <si>
    <t xml:space="preserve">Instruction</t>
  </si>
  <si>
    <t xml:space="preserve">Faster Absorption</t>
  </si>
  <si>
    <t xml:space="preserve">Increase Monthly Absorption in Market Assumptions by 20% and review DCF output.</t>
  </si>
  <si>
    <t xml:space="preserve">Base Case</t>
  </si>
  <si>
    <t xml:space="preserve">Current workbook case.</t>
  </si>
  <si>
    <t xml:space="preserve">Slower Absorption</t>
  </si>
  <si>
    <t xml:space="preserve">Decrease Monthly Absorption in Market Assumptions by 20% and review DCF output.</t>
  </si>
  <si>
    <t xml:space="preserve">Required Note</t>
  </si>
  <si>
    <t xml:space="preserve">Document whether absorption sensitivity was performed directly in this workbook or in an approved alternative model.</t>
  </si>
  <si>
    <t xml:space="preserve">Appraiser Comment</t>
  </si>
  <si>
    <t xml:space="preserve">Report Exhibits</t>
  </si>
  <si>
    <t xml:space="preserve">Exhibit Item</t>
  </si>
  <si>
    <t xml:space="preserve">Conclusion</t>
  </si>
  <si>
    <t xml:space="preserve">Overall Sensitivity Reviewed</t>
  </si>
  <si>
    <t xml:space="preserve">Yes / No</t>
  </si>
  <si>
    <t xml:space="preserve">Reviewer Checks</t>
  </si>
  <si>
    <t xml:space="preserve">Check</t>
  </si>
  <si>
    <t xml:space="preserve">Status</t>
  </si>
  <si>
    <t xml:space="preserve">Formula / Basis</t>
  </si>
  <si>
    <t xml:space="preserve">Reviewer Notes</t>
  </si>
  <si>
    <t xml:space="preserve">Property lot count entered</t>
  </si>
  <si>
    <t xml:space="preserve">Property Info!B12 &gt; 0</t>
  </si>
  <si>
    <t xml:space="preserve">Beginning lot price entered</t>
  </si>
  <si>
    <t xml:space="preserve">Market Assumptions!B4 &gt; 0</t>
  </si>
  <si>
    <t xml:space="preserve">Monthly absorption entered</t>
  </si>
  <si>
    <t xml:space="preserve">Market Assumptions!B6 &gt; 0</t>
  </si>
  <si>
    <t xml:space="preserve">Discount rate selected</t>
  </si>
  <si>
    <t xml:space="preserve">Discount Rate Support!C13 &gt; 0</t>
  </si>
  <si>
    <t xml:space="preserve">Hard cost support entered</t>
  </si>
  <si>
    <t xml:space="preserve">Development Costs source column reviewed</t>
  </si>
  <si>
    <t xml:space="preserve">Soft cost support entered</t>
  </si>
  <si>
    <t xml:space="preserve">Holding costs reviewed</t>
  </si>
  <si>
    <t xml:space="preserve">Holding Costs reviewed</t>
  </si>
  <si>
    <t xml:space="preserve">Bulk Sale Value calculated</t>
  </si>
  <si>
    <t xml:space="preserve">Bulk Sale Analysis!B11</t>
  </si>
  <si>
    <t xml:space="preserve">Sensitivity tables reviewed</t>
  </si>
  <si>
    <t xml:space="preserve">Sensitivity Tables completed</t>
  </si>
  <si>
    <t xml:space="preserve">Workbook submitted with appraisal</t>
  </si>
  <si>
    <t xml:space="preserve">Required by Chapter 8</t>
  </si>
  <si>
    <t xml:space="preserve">Appraiser narrative supports assumptions</t>
  </si>
  <si>
    <t xml:space="preserve">Required in report</t>
  </si>
  <si>
    <t xml:space="preserve">No unexplained override formulas</t>
  </si>
  <si>
    <t xml:space="preserve">Workbook review</t>
  </si>
  <si>
    <t xml:space="preserve">Reviewer conclusion</t>
  </si>
  <si>
    <t xml:space="preserve">Pass / Revise / Reject</t>
  </si>
</sst>
</file>

<file path=xl/styles.xml><?xml version="1.0" encoding="utf-8"?>
<styleSheet xmlns="http://schemas.openxmlformats.org/spreadsheetml/2006/main">
  <numFmts count="13">
    <numFmt numFmtId="164" formatCode="General"/>
    <numFmt numFmtId="165" formatCode="mm/dd/yyyy"/>
    <numFmt numFmtId="166" formatCode="0.00"/>
    <numFmt numFmtId="167" formatCode="#,##0"/>
    <numFmt numFmtId="168" formatCode="\$#,##0;[RED]&quot;($&quot;#,##0\);\-"/>
    <numFmt numFmtId="169" formatCode="0.0%"/>
    <numFmt numFmtId="170" formatCode="0"/>
    <numFmt numFmtId="171" formatCode="General"/>
    <numFmt numFmtId="172" formatCode="mmm\-yy"/>
    <numFmt numFmtId="173" formatCode="#,##0.0"/>
    <numFmt numFmtId="174" formatCode="0.000\x"/>
    <numFmt numFmtId="175" formatCode="0.0"/>
    <numFmt numFmtId="176" formatCode="\+0.0%;\-0.0%;0.0%"/>
  </numFmts>
  <fonts count="14">
    <font>
      <sz val="10"/>
      <name val="Arial"/>
      <family val="2"/>
      <charset val="1"/>
    </font>
    <font>
      <sz val="10"/>
      <name val="Arial"/>
      <family val="0"/>
    </font>
    <font>
      <sz val="10"/>
      <name val="Arial"/>
      <family val="0"/>
    </font>
    <font>
      <sz val="10"/>
      <name val="Arial"/>
      <family val="0"/>
    </font>
    <font>
      <b val="true"/>
      <sz val="16"/>
      <color rgb="FFFFFFFF"/>
      <name val="Calibri"/>
      <family val="0"/>
      <charset val="1"/>
    </font>
    <font>
      <sz val="11"/>
      <name val="Calibri"/>
      <family val="0"/>
      <charset val="1"/>
    </font>
    <font>
      <b val="true"/>
      <sz val="11"/>
      <color rgb="FF1F2937"/>
      <name val="Calibri"/>
      <family val="0"/>
      <charset val="1"/>
    </font>
    <font>
      <sz val="11"/>
      <color rgb="FF0000FF"/>
      <name val="Calibri"/>
      <family val="0"/>
      <charset val="1"/>
    </font>
    <font>
      <sz val="11"/>
      <color rgb="FF1F2937"/>
      <name val="Calibri"/>
      <family val="0"/>
      <charset val="1"/>
    </font>
    <font>
      <b val="true"/>
      <sz val="11"/>
      <color rgb="FFFFFFFF"/>
      <name val="Calibri"/>
      <family val="0"/>
      <charset val="1"/>
    </font>
    <font>
      <sz val="11"/>
      <color rgb="FF000000"/>
      <name val="Calibri"/>
      <family val="0"/>
      <charset val="1"/>
    </font>
    <font>
      <b val="true"/>
      <sz val="11"/>
      <name val="Calibri"/>
      <family val="0"/>
      <charset val="1"/>
    </font>
    <font>
      <b val="true"/>
      <sz val="18"/>
      <color rgb="FF000000"/>
      <name val="Calibri"/>
      <family val="2"/>
    </font>
    <font>
      <sz val="10"/>
      <color rgb="FF000000"/>
      <name val="Calibri"/>
      <family val="2"/>
    </font>
  </fonts>
  <fills count="7">
    <fill>
      <patternFill patternType="none"/>
    </fill>
    <fill>
      <patternFill patternType="gray125"/>
    </fill>
    <fill>
      <patternFill patternType="solid">
        <fgColor rgb="FF387C59"/>
        <bgColor rgb="FF156082"/>
      </patternFill>
    </fill>
    <fill>
      <patternFill patternType="solid">
        <fgColor rgb="FFFFF2CC"/>
        <bgColor rgb="FFF3F4F6"/>
      </patternFill>
    </fill>
    <fill>
      <patternFill patternType="solid">
        <fgColor rgb="FFEAF4EF"/>
        <bgColor rgb="FFF3F4F6"/>
      </patternFill>
    </fill>
    <fill>
      <patternFill patternType="solid">
        <fgColor rgb="FF1F2937"/>
        <bgColor rgb="FF333300"/>
      </patternFill>
    </fill>
    <fill>
      <patternFill patternType="solid">
        <fgColor rgb="FFF3F4F6"/>
        <bgColor rgb="FFEAF4E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7" fillId="3" borderId="0" xfId="0" applyFont="true" applyBorder="false" applyAlignment="true" applyProtection="false">
      <alignment horizontal="general" vertical="bottom" textRotation="0" wrapText="true" indent="0" shrinkToFit="false"/>
      <protection locked="true" hidden="false"/>
    </xf>
    <xf numFmtId="164" fontId="8" fillId="4"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4" fontId="9" fillId="5" borderId="0" xfId="0" applyFont="true" applyBorder="true" applyAlignment="true" applyProtection="false">
      <alignment horizontal="left" vertical="bottom" textRotation="0" wrapText="true" indent="0" shrinkToFit="false"/>
      <protection locked="true" hidden="false"/>
    </xf>
    <xf numFmtId="164" fontId="9" fillId="2" borderId="0" xfId="0" applyFont="true" applyBorder="false" applyAlignment="true" applyProtection="false">
      <alignment horizontal="center" vertical="center" textRotation="0" wrapText="true" indent="0" shrinkToFit="false"/>
      <protection locked="true" hidden="false"/>
    </xf>
    <xf numFmtId="165" fontId="7" fillId="3" borderId="0" xfId="0" applyFont="true" applyBorder="false" applyAlignment="true" applyProtection="false">
      <alignment horizontal="general" vertical="bottom" textRotation="0" wrapText="true" indent="0" shrinkToFit="false"/>
      <protection locked="true" hidden="false"/>
    </xf>
    <xf numFmtId="166" fontId="7" fillId="3" borderId="0" xfId="0" applyFont="true" applyBorder="false" applyAlignment="true" applyProtection="false">
      <alignment horizontal="general" vertical="bottom" textRotation="0" wrapText="true" indent="0" shrinkToFit="false"/>
      <protection locked="true" hidden="false"/>
    </xf>
    <xf numFmtId="167" fontId="7" fillId="3" borderId="0" xfId="0" applyFont="true" applyBorder="false" applyAlignment="true" applyProtection="false">
      <alignment horizontal="general" vertical="bottom" textRotation="0" wrapText="true" indent="0" shrinkToFit="false"/>
      <protection locked="true" hidden="false"/>
    </xf>
    <xf numFmtId="168" fontId="7" fillId="3" borderId="0" xfId="0" applyFont="true" applyBorder="false" applyAlignment="true" applyProtection="false">
      <alignment horizontal="general" vertical="bottom" textRotation="0" wrapText="true" indent="0" shrinkToFit="false"/>
      <protection locked="true" hidden="false"/>
    </xf>
    <xf numFmtId="169" fontId="7" fillId="3" borderId="0" xfId="0" applyFont="true" applyBorder="false" applyAlignment="true" applyProtection="false">
      <alignment horizontal="general" vertical="bottom" textRotation="0" wrapText="true" indent="0" shrinkToFit="false"/>
      <protection locked="true" hidden="false"/>
    </xf>
    <xf numFmtId="170" fontId="7" fillId="3" borderId="0" xfId="0" applyFont="true" applyBorder="false" applyAlignment="true" applyProtection="false">
      <alignment horizontal="general" vertical="bottom" textRotation="0" wrapText="true" indent="0" shrinkToFit="false"/>
      <protection locked="true" hidden="false"/>
    </xf>
    <xf numFmtId="171" fontId="10" fillId="6" borderId="0" xfId="0" applyFont="true" applyBorder="false" applyAlignment="true" applyProtection="false">
      <alignment horizontal="general" vertical="bottom" textRotation="0" wrapText="true" indent="0" shrinkToFit="false"/>
      <protection locked="true" hidden="false"/>
    </xf>
    <xf numFmtId="169" fontId="10" fillId="6" borderId="0" xfId="0" applyFont="true" applyBorder="false" applyAlignment="true" applyProtection="false">
      <alignment horizontal="general" vertical="bottom" textRotation="0" wrapText="true" indent="0" shrinkToFit="false"/>
      <protection locked="true" hidden="false"/>
    </xf>
    <xf numFmtId="172" fontId="10" fillId="6" borderId="0" xfId="0" applyFont="true" applyBorder="false" applyAlignment="true" applyProtection="false">
      <alignment horizontal="general" vertical="bottom" textRotation="0" wrapText="true" indent="0" shrinkToFit="false"/>
      <protection locked="true" hidden="false"/>
    </xf>
    <xf numFmtId="173" fontId="10" fillId="6" borderId="0" xfId="0" applyFont="true" applyBorder="false" applyAlignment="true" applyProtection="false">
      <alignment horizontal="general" vertical="bottom" textRotation="0" wrapText="true" indent="0" shrinkToFit="false"/>
      <protection locked="true" hidden="false"/>
    </xf>
    <xf numFmtId="168" fontId="10" fillId="6" borderId="0" xfId="0" applyFont="true" applyBorder="false" applyAlignment="true" applyProtection="false">
      <alignment horizontal="general" vertical="bottom" textRotation="0" wrapText="tru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74" fontId="10" fillId="6" borderId="0" xfId="0" applyFont="true" applyBorder="false" applyAlignment="true" applyProtection="false">
      <alignment horizontal="general" vertical="bottom" textRotation="0" wrapText="true" indent="0" shrinkToFit="false"/>
      <protection locked="true" hidden="false"/>
    </xf>
    <xf numFmtId="164" fontId="8" fillId="4" borderId="0" xfId="0" applyFont="true" applyBorder="true" applyAlignment="true" applyProtection="false">
      <alignment horizontal="general" vertical="bottom" textRotation="0" wrapText="true" indent="0" shrinkToFit="false"/>
      <protection locked="true" hidden="false"/>
    </xf>
    <xf numFmtId="170" fontId="10" fillId="6" borderId="0" xfId="0" applyFont="true" applyBorder="false" applyAlignment="true" applyProtection="false">
      <alignment horizontal="general" vertical="bottom" textRotation="0" wrapText="true" indent="0" shrinkToFit="false"/>
      <protection locked="true" hidden="false"/>
    </xf>
    <xf numFmtId="175" fontId="10" fillId="6" borderId="0" xfId="0" applyFont="true" applyBorder="false" applyAlignment="true" applyProtection="false">
      <alignment horizontal="general" vertical="bottom" textRotation="0" wrapText="true" indent="0" shrinkToFit="false"/>
      <protection locked="true" hidden="false"/>
    </xf>
    <xf numFmtId="176" fontId="5" fillId="0" borderId="0" xfId="0" applyFont="true" applyBorder="false" applyAlignment="true" applyProtection="false">
      <alignment horizontal="general" vertical="bottom" textRotation="0" wrapText="true" indent="0" shrinkToFit="false"/>
      <protection locked="true" hidden="false"/>
    </xf>
    <xf numFmtId="165" fontId="10" fillId="6"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56082"/>
      <rgbColor rgb="FFCCCCCC"/>
      <rgbColor rgb="FF8B8B8B"/>
      <rgbColor rgb="FF9999FF"/>
      <rgbColor rgb="FF993366"/>
      <rgbColor rgb="FFFFF2CC"/>
      <rgbColor rgb="FFEAF4E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3F4F6"/>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87C59"/>
      <rgbColor rgb="FF003300"/>
      <rgbColor rgb="FF333300"/>
      <rgbColor rgb="FF993300"/>
      <rgbColor rgb="FF993366"/>
      <rgbColor rgb="FF33339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ea typeface="Calibri"/>
              </a:defRPr>
            </a:pPr>
            <a:r>
              <a:rPr b="1" sz="1800" spc="-1" strike="noStrike">
                <a:solidFill>
                  <a:srgbClr val="000000"/>
                </a:solidFill>
                <a:latin typeface="Calibri"/>
                <a:ea typeface="Calibri"/>
              </a:rPr>
              <a:t>Discount Rate Sensitivity</a:t>
            </a:r>
          </a:p>
        </c:rich>
      </c:tx>
      <c:overlay val="0"/>
      <c:spPr>
        <a:noFill/>
        <a:ln w="0">
          <a:noFill/>
        </a:ln>
      </c:spPr>
    </c:title>
    <c:autoTitleDeleted val="0"/>
    <c:plotArea>
      <c:barChart>
        <c:barDir val="col"/>
        <c:grouping val="clustered"/>
        <c:varyColors val="0"/>
        <c:ser>
          <c:idx val="0"/>
          <c:order val="0"/>
          <c:tx>
            <c:strRef>
              <c:f>"Indicated Value"</c:f>
              <c:strCache>
                <c:ptCount val="1"/>
                <c:pt idx="0">
                  <c:v>Indicated Value</c:v>
                </c:pt>
              </c:strCache>
            </c:strRef>
          </c:tx>
          <c:spPr>
            <a:solidFill>
              <a:srgbClr val="156082"/>
            </a:solidFill>
            <a:ln w="0">
              <a:noFill/>
            </a:ln>
          </c:spPr>
          <c:invertIfNegative val="0"/>
          <c:dLbls>
            <c:txPr>
              <a:bodyPr wrap="square"/>
              <a:lstStyle/>
              <a:p>
                <a:pPr>
                  <a:defRPr b="0" sz="1000" spc="-1" strike="noStrike">
                    <a:solidFill>
                      <a:srgbClr val="000000"/>
                    </a:solidFill>
                    <a:latin typeface="Calibri"/>
                    <a:ea typeface="Calibri"/>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'Sensitivity Tables'!$A$5:$A$9</c:f>
              <c:strCache>
                <c:ptCount val="5"/>
                <c:pt idx="0">
                  <c:v>-2.0%</c:v>
                </c:pt>
                <c:pt idx="1">
                  <c:v>-1.0%</c:v>
                </c:pt>
                <c:pt idx="2">
                  <c:v>0.0%</c:v>
                </c:pt>
                <c:pt idx="3">
                  <c:v>+1.0%</c:v>
                </c:pt>
                <c:pt idx="4">
                  <c:v>+2.0%</c:v>
                </c:pt>
              </c:strCache>
            </c:strRef>
          </c:cat>
          <c:val>
            <c:numRef>
              <c:f>'Sensitivity Tables'!$B$5:$B$9</c:f>
              <c:numCache>
                <c:formatCode>\$#,##0;[RED]"($"#,##0\);\-</c:formatCode>
                <c:ptCount val="5"/>
                <c:pt idx="0">
                  <c:v>0</c:v>
                </c:pt>
                <c:pt idx="1">
                  <c:v>0</c:v>
                </c:pt>
                <c:pt idx="2">
                  <c:v>0</c:v>
                </c:pt>
                <c:pt idx="3">
                  <c:v>0</c:v>
                </c:pt>
                <c:pt idx="4">
                  <c:v>0</c:v>
                </c:pt>
              </c:numCache>
            </c:numRef>
          </c:val>
        </c:ser>
        <c:gapWidth val="150"/>
        <c:overlap val="0"/>
        <c:axId val="74825766"/>
        <c:axId val="15020681"/>
      </c:barChart>
      <c:catAx>
        <c:axId val="74825766"/>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12600">
            <a:solidFill>
              <a:srgbClr val="8b8b8b"/>
            </a:solidFill>
            <a:round/>
          </a:ln>
        </c:spPr>
        <c:txPr>
          <a:bodyPr/>
          <a:lstStyle/>
          <a:p>
            <a:pPr>
              <a:defRPr b="0" sz="1000" spc="-1" strike="noStrike">
                <a:solidFill>
                  <a:srgbClr val="000000"/>
                </a:solidFill>
                <a:latin typeface="Calibri"/>
                <a:ea typeface="Calibri"/>
              </a:defRPr>
            </a:pPr>
          </a:p>
        </c:txPr>
        <c:crossAx val="15020681"/>
        <c:crosses val="autoZero"/>
        <c:auto val="1"/>
        <c:lblAlgn val="ctr"/>
        <c:lblOffset val="100"/>
        <c:noMultiLvlLbl val="0"/>
      </c:catAx>
      <c:valAx>
        <c:axId val="15020681"/>
        <c:scaling>
          <c:orientation val="minMax"/>
        </c:scaling>
        <c:delete val="0"/>
        <c:axPos val="l"/>
        <c:majorGridlines>
          <c:spPr>
            <a:ln w="9360">
              <a:solidFill>
                <a:srgbClr val="cccccc"/>
              </a:solidFill>
              <a:prstDash val="dash"/>
              <a:round/>
            </a:ln>
          </c:spPr>
        </c:majorGridlines>
        <c:numFmt formatCode="General" sourceLinked="0"/>
        <c:majorTickMark val="none"/>
        <c:minorTickMark val="none"/>
        <c:tickLblPos val="nextTo"/>
        <c:spPr>
          <a:ln w="12600">
            <a:solidFill>
              <a:srgbClr val="8b8b8b"/>
            </a:solidFill>
            <a:round/>
          </a:ln>
        </c:spPr>
        <c:txPr>
          <a:bodyPr/>
          <a:lstStyle/>
          <a:p>
            <a:pPr>
              <a:defRPr b="0" sz="1000" spc="-1" strike="noStrike">
                <a:solidFill>
                  <a:srgbClr val="000000"/>
                </a:solidFill>
                <a:latin typeface="Calibri"/>
                <a:ea typeface="Calibri"/>
              </a:defRPr>
            </a:pPr>
          </a:p>
        </c:txPr>
        <c:crossAx val="74825766"/>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ea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0</xdr:colOff>
      <xdr:row>2</xdr:row>
      <xdr:rowOff>0</xdr:rowOff>
    </xdr:from>
    <xdr:to>
      <xdr:col>7</xdr:col>
      <xdr:colOff>1549800</xdr:colOff>
      <xdr:row>17</xdr:row>
      <xdr:rowOff>189360</xdr:rowOff>
    </xdr:to>
    <xdr:graphicFrame>
      <xdr:nvGraphicFramePr>
        <xdr:cNvPr id="0" name="Chart 1"/>
        <xdr:cNvGraphicFramePr/>
      </xdr:nvGraphicFramePr>
      <xdr:xfrm>
        <a:off x="5920920" y="571680"/>
        <a:ext cx="7752240" cy="30466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solidFill>
          <a:schemeClr val="dk1"/>
        </a:solidFill>
        <a:solidFill>
          <a:schemeClr val="accent1"/>
        </a:soli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I1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8" min="1" style="1" width="22"/>
  </cols>
  <sheetData>
    <row r="1" customFormat="false" ht="30" hidden="false" customHeight="true" outlineLevel="0" collapsed="false">
      <c r="A1" s="2" t="s">
        <v>0</v>
      </c>
      <c r="B1" s="2"/>
      <c r="C1" s="2"/>
      <c r="D1" s="2"/>
      <c r="E1" s="2"/>
      <c r="F1" s="2"/>
      <c r="G1" s="2"/>
      <c r="H1" s="2"/>
      <c r="I1" s="2"/>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row>
    <row r="2" customFormat="false" ht="15" hidden="false" customHeight="true" outlineLevel="0" collapsed="false">
      <c r="A2" s="3"/>
      <c r="B2" s="3"/>
      <c r="C2" s="3"/>
      <c r="D2" s="3"/>
      <c r="E2" s="3"/>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row>
    <row r="3" customFormat="false" ht="15" hidden="false" customHeight="true" outlineLevel="0" collapsed="false">
      <c r="A3" s="4" t="s">
        <v>1</v>
      </c>
      <c r="B3" s="3" t="s">
        <v>2</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row>
    <row r="4" customFormat="false" ht="15" hidden="false" customHeight="true" outlineLevel="0" collapsed="false">
      <c r="A4" s="4" t="s">
        <v>3</v>
      </c>
      <c r="B4" s="3" t="s">
        <v>4</v>
      </c>
      <c r="C4" s="3"/>
      <c r="D4" s="3"/>
      <c r="E4" s="3"/>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row>
    <row r="5" customFormat="false" ht="41.25" hidden="false" customHeight="true" outlineLevel="0" collapsed="false">
      <c r="A5" s="4" t="s">
        <v>5</v>
      </c>
      <c r="B5" s="3" t="s">
        <v>6</v>
      </c>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row>
    <row r="6" customFormat="false" ht="27.75" hidden="false" customHeight="true" outlineLevel="0" collapsed="false">
      <c r="A6" s="4" t="s">
        <v>7</v>
      </c>
      <c r="B6" s="3" t="s">
        <v>8</v>
      </c>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row>
    <row r="7" customFormat="false" ht="54.75" hidden="false" customHeight="true" outlineLevel="0" collapsed="false">
      <c r="A7" s="4" t="s">
        <v>9</v>
      </c>
      <c r="B7" s="3" t="s">
        <v>10</v>
      </c>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row>
    <row r="8" customFormat="false" ht="15" hidden="false" customHeight="true" outlineLevel="0" collapsed="false">
      <c r="A8" s="4" t="s">
        <v>11</v>
      </c>
      <c r="B8" s="5"/>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row>
    <row r="9" customFormat="false" ht="15" hidden="false" customHeight="true" outlineLevel="0" collapsed="false">
      <c r="A9" s="4" t="s">
        <v>12</v>
      </c>
      <c r="B9" s="5"/>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row>
    <row r="10" customFormat="false" ht="15" hidden="false" customHeight="true" outlineLevel="0" collapsed="false">
      <c r="A10" s="4" t="s">
        <v>13</v>
      </c>
      <c r="B10" s="5"/>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row>
    <row r="11" customFormat="false" ht="15" hidden="false" customHeight="true" outlineLevel="0" collapsed="false">
      <c r="A11" s="4" t="s">
        <v>14</v>
      </c>
      <c r="B11" s="5"/>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row>
    <row r="12" customFormat="false" ht="15" hidden="false" customHeight="true" outlineLevel="0" collapsed="false">
      <c r="A12" s="4" t="s">
        <v>15</v>
      </c>
      <c r="B12" s="5"/>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row>
    <row r="13" customFormat="false" ht="15" hidden="false" customHeight="true" outlineLevel="0" collapsed="false">
      <c r="A13" s="4" t="s">
        <v>16</v>
      </c>
      <c r="B13" s="5"/>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row>
    <row r="14" customFormat="false" ht="15" hidden="false" customHeight="true" outlineLevel="0" collapsed="false">
      <c r="A14" s="4" t="s">
        <v>17</v>
      </c>
      <c r="B14" s="5"/>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row>
    <row r="15" customFormat="false" ht="15" hidden="false" customHeight="true" outlineLevel="0" collapsed="false">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row>
    <row r="16" customFormat="false" ht="15" hidden="false" customHeight="true" outlineLevel="0" collapsed="false">
      <c r="A16" s="6" t="s">
        <v>18</v>
      </c>
      <c r="B16" s="6"/>
      <c r="C16" s="6"/>
      <c r="D16" s="6"/>
      <c r="E16" s="6"/>
      <c r="F16" s="6"/>
      <c r="G16" s="6"/>
      <c r="H16" s="6"/>
      <c r="I16" s="6"/>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row>
    <row r="17" customFormat="false" ht="15" hidden="false" customHeight="true" outlineLevel="0" collapsed="false">
      <c r="A17" s="6"/>
      <c r="B17" s="6"/>
      <c r="C17" s="6"/>
      <c r="D17" s="6"/>
      <c r="E17" s="6"/>
      <c r="F17" s="6"/>
      <c r="G17" s="6"/>
      <c r="H17" s="6"/>
      <c r="I17" s="6"/>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row>
    <row r="18" customFormat="false" ht="15" hidden="false" customHeight="true" outlineLevel="0" collapsed="false">
      <c r="A18" s="6"/>
      <c r="B18" s="6"/>
      <c r="C18" s="6"/>
      <c r="D18" s="6"/>
      <c r="E18" s="6"/>
      <c r="F18" s="6"/>
      <c r="G18" s="6"/>
      <c r="H18" s="6"/>
      <c r="I18" s="6"/>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row>
    <row r="19" customFormat="false" ht="15" hidden="false" customHeight="true" outlineLevel="0" collapsed="false">
      <c r="A19" s="6"/>
      <c r="B19" s="6"/>
      <c r="C19" s="6"/>
      <c r="D19" s="6"/>
      <c r="E19" s="6"/>
      <c r="F19" s="6"/>
      <c r="G19" s="6"/>
      <c r="H19" s="6"/>
      <c r="I19" s="6"/>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row>
    <row r="20" customFormat="false" ht="15" hidden="false" customHeight="true" outlineLevel="0" collapsed="false">
      <c r="A20" s="6"/>
      <c r="B20" s="6"/>
      <c r="C20" s="6"/>
      <c r="D20" s="6"/>
      <c r="E20" s="6"/>
      <c r="F20" s="6"/>
      <c r="G20" s="6"/>
      <c r="H20" s="6"/>
      <c r="I20" s="6"/>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row>
    <row r="21" customFormat="false" ht="15" hidden="false" customHeight="true" outlineLevel="0" collapsed="false">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row>
    <row r="22" customFormat="false" ht="15" hidden="false" customHeight="true" outlineLevel="0" collapsed="false">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row>
    <row r="23" customFormat="false" ht="15" hidden="false" customHeight="true" outlineLevel="0" collapsed="false">
      <c r="A23" s="3"/>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row>
    <row r="24" customFormat="false" ht="15" hidden="false" customHeight="true" outlineLevel="0" collapsed="false">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row>
    <row r="25" customFormat="false" ht="15" hidden="false" customHeight="true" outlineLevel="0" collapsed="false">
      <c r="A25" s="3"/>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row>
    <row r="26" customFormat="false" ht="15" hidden="false" customHeight="true" outlineLevel="0" collapsed="false">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row>
    <row r="27" customFormat="false" ht="15" hidden="false" customHeight="true" outlineLevel="0" collapsed="false">
      <c r="A27" s="3"/>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row>
    <row r="28" customFormat="false" ht="15" hidden="false" customHeight="true" outlineLevel="0" collapsed="false">
      <c r="A28" s="3"/>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row>
    <row r="29" customFormat="false" ht="15" hidden="false" customHeight="true" outlineLevel="0" collapsed="false">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row>
    <row r="30" customFormat="false" ht="15" hidden="false" customHeight="true" outlineLevel="0" collapsed="false">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row>
    <row r="31" customFormat="false" ht="15" hidden="false" customHeight="true" outlineLevel="0" collapsed="false">
      <c r="A31" s="3"/>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row>
    <row r="32" customFormat="false" ht="15" hidden="false" customHeight="true" outlineLevel="0" collapsed="false">
      <c r="A32" s="3"/>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row>
    <row r="33" customFormat="false" ht="15" hidden="false" customHeight="true" outlineLevel="0" collapsed="false">
      <c r="A33" s="3"/>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row>
    <row r="34" customFormat="false" ht="15" hidden="false" customHeight="true" outlineLevel="0" collapsed="false">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row>
    <row r="35" customFormat="false" ht="15" hidden="false" customHeight="true" outlineLevel="0" collapsed="false">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row>
    <row r="36" customFormat="false" ht="15" hidden="false" customHeight="true" outlineLevel="0" collapsed="false">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row>
    <row r="37" customFormat="false" ht="15" hidden="false" customHeight="true" outlineLevel="0" collapsed="false">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row>
    <row r="38" customFormat="false" ht="15" hidden="false" customHeight="true" outlineLevel="0" collapsed="false">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row>
    <row r="39" customFormat="false" ht="15" hidden="false" customHeight="true" outlineLevel="0" collapsed="false">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row>
    <row r="40" customFormat="false" ht="15" hidden="false" customHeight="true" outlineLevel="0" collapsed="false">
      <c r="A40" s="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row>
    <row r="41" customFormat="false" ht="15" hidden="false" customHeight="true" outlineLevel="0" collapsed="false">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row>
    <row r="42" customFormat="false" ht="15" hidden="false" customHeight="true" outlineLevel="0" collapsed="false">
      <c r="A42" s="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row>
    <row r="43" customFormat="false" ht="15" hidden="false" customHeight="true" outlineLevel="0" collapsed="false">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row>
    <row r="44" customFormat="false" ht="15" hidden="false" customHeight="true" outlineLevel="0" collapsed="false">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row>
    <row r="45" customFormat="false" ht="15" hidden="false" customHeight="true" outlineLevel="0" collapsed="false">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row>
    <row r="46" customFormat="false" ht="15" hidden="false" customHeight="true" outlineLevel="0" collapsed="false">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row>
    <row r="47" customFormat="false" ht="1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row>
    <row r="48" customFormat="false" ht="15" hidden="false" customHeight="true" outlineLevel="0" collapsed="false">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row>
    <row r="49" customFormat="false" ht="15" hidden="false" customHeight="true" outlineLevel="0" collapsed="false">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row>
    <row r="50" customFormat="false" ht="15" hidden="false" customHeight="true" outlineLevel="0" collapsed="false">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row>
    <row r="51" customFormat="false" ht="15" hidden="false" customHeight="true" outlineLevel="0" collapsed="false">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row>
    <row r="52" customFormat="false" ht="15" hidden="false" customHeight="true" outlineLevel="0" collapsed="false">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row>
    <row r="53" customFormat="false" ht="15" hidden="false" customHeight="true" outlineLevel="0" collapsed="false">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row>
    <row r="54" customFormat="false" ht="15" hidden="false" customHeight="true" outlineLevel="0" collapsed="false">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row>
    <row r="55" customFormat="false" ht="15" hidden="false" customHeight="true" outlineLevel="0" collapsed="false">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row>
    <row r="56" customFormat="false" ht="15" hidden="false" customHeight="true" outlineLevel="0" collapsed="false">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row>
    <row r="57" customFormat="false" ht="15" hidden="false" customHeight="tru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row>
    <row r="58" customFormat="false" ht="15" hidden="false" customHeight="true" outlineLevel="0" collapsed="false">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row>
    <row r="59" customFormat="false" ht="15" hidden="false" customHeight="true" outlineLevel="0" collapsed="false">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row>
    <row r="60" customFormat="false" ht="15" hidden="false" customHeight="true" outlineLevel="0" collapsed="false">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row>
    <row r="61" customFormat="false" ht="15" hidden="false" customHeight="true" outlineLevel="0" collapsed="false">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row>
    <row r="62" customFormat="false" ht="15" hidden="false" customHeight="true" outlineLevel="0" collapsed="false">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row>
    <row r="63" customFormat="false" ht="15" hidden="false" customHeight="true" outlineLevel="0" collapsed="false">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row>
    <row r="64" customFormat="false" ht="15" hidden="false" customHeight="true" outlineLevel="0" collapsed="false">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row>
    <row r="65" customFormat="false" ht="15" hidden="false" customHeight="true" outlineLevel="0" collapsed="false">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row>
    <row r="66" customFormat="false" ht="15" hidden="false" customHeight="true" outlineLevel="0" collapsed="false">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row>
    <row r="67" customFormat="false" ht="15" hidden="false" customHeight="true" outlineLevel="0" collapsed="false">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row>
    <row r="68" customFormat="false" ht="15" hidden="false" customHeight="true" outlineLevel="0" collapsed="false">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row>
    <row r="69" customFormat="false" ht="15" hidden="false" customHeight="true" outlineLevel="0" collapsed="false">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row>
    <row r="70" customFormat="false" ht="15" hidden="false" customHeight="true" outlineLevel="0" collapsed="false">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row>
    <row r="71" customFormat="false" ht="15" hidden="false" customHeight="true" outlineLevel="0" collapsed="false">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row>
    <row r="72" customFormat="false" ht="15" hidden="false" customHeight="true" outlineLevel="0" collapsed="false">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row>
    <row r="73" customFormat="false" ht="15" hidden="false" customHeight="true" outlineLevel="0" collapsed="false">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row>
    <row r="74" customFormat="false" ht="15" hidden="false" customHeight="true" outlineLevel="0" collapsed="false">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row>
    <row r="75" customFormat="false" ht="15" hidden="false" customHeight="true" outlineLevel="0" collapsed="false">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row>
    <row r="76" customFormat="false" ht="15" hidden="false" customHeight="true" outlineLevel="0" collapsed="false">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row>
    <row r="77" customFormat="false" ht="15" hidden="false" customHeight="true" outlineLevel="0" collapsed="false">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row>
    <row r="78" customFormat="false" ht="15" hidden="false" customHeight="true" outlineLevel="0" collapsed="false">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row>
    <row r="79" customFormat="false" ht="15" hidden="false" customHeight="true" outlineLevel="0" collapsed="false">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row>
    <row r="80" customFormat="false" ht="15" hidden="false" customHeight="true" outlineLevel="0" collapsed="false">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row>
    <row r="81" customFormat="false" ht="15" hidden="false" customHeight="true" outlineLevel="0" collapsed="false">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row>
    <row r="82" customFormat="false" ht="15" hidden="false" customHeight="true" outlineLevel="0" collapsed="false">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row>
    <row r="83" customFormat="false" ht="15" hidden="false" customHeight="true" outlineLevel="0" collapsed="false">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row>
    <row r="84" customFormat="false" ht="15" hidden="false" customHeight="true" outlineLevel="0" collapsed="false">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row>
    <row r="85" customFormat="false" ht="15" hidden="false" customHeight="true" outlineLevel="0" collapsed="false">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row>
    <row r="86" customFormat="false" ht="15" hidden="false" customHeight="true" outlineLevel="0" collapsed="false">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row>
    <row r="87" customFormat="false" ht="15" hidden="false" customHeight="true" outlineLevel="0" collapsed="false">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row>
    <row r="88" customFormat="false" ht="15" hidden="false" customHeight="true" outlineLevel="0" collapsed="false">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row>
    <row r="89" customFormat="false" ht="15" hidden="false" customHeight="true" outlineLevel="0" collapsed="false">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row>
    <row r="90" customFormat="false" ht="15" hidden="false" customHeight="true" outlineLevel="0" collapsed="false">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row>
    <row r="91" customFormat="false" ht="15" hidden="false" customHeight="true" outlineLevel="0" collapsed="false">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row>
    <row r="92" customFormat="false" ht="15" hidden="false" customHeight="true" outlineLevel="0" collapsed="false">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row>
    <row r="93" customFormat="false" ht="15" hidden="false" customHeight="true" outlineLevel="0" collapsed="false">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row>
    <row r="94" customFormat="false" ht="15" hidden="false" customHeight="true" outlineLevel="0" collapsed="false">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row>
    <row r="95" customFormat="false" ht="15" hidden="false" customHeight="true" outlineLevel="0" collapsed="false">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row>
    <row r="96" customFormat="false" ht="15" hidden="false" customHeight="true" outlineLevel="0" collapsed="false">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row>
    <row r="97" customFormat="false" ht="15" hidden="false" customHeight="true" outlineLevel="0" collapsed="false">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row>
    <row r="98" customFormat="false" ht="15" hidden="false" customHeight="true" outlineLevel="0" collapsed="false">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row>
    <row r="99" customFormat="false" ht="15" hidden="false" customHeight="true" outlineLevel="0" collapsed="false">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row>
    <row r="100" customFormat="false" ht="15" hidden="false" customHeight="true" outlineLevel="0" collapsed="false">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row>
  </sheetData>
  <mergeCells count="2">
    <mergeCell ref="A1:I1"/>
    <mergeCell ref="A16:I2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I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35"/>
    <col collapsed="false" customWidth="true" hidden="false" outlineLevel="0" max="3" min="3" style="1" width="22"/>
    <col collapsed="false" customWidth="true" hidden="false" outlineLevel="0" max="4" min="4" style="1" width="40"/>
    <col collapsed="false" customWidth="true" hidden="false" outlineLevel="0" max="8" min="5" style="1" width="22"/>
  </cols>
  <sheetData>
    <row r="1" customFormat="false" ht="30" hidden="false" customHeight="true" outlineLevel="0" collapsed="false">
      <c r="A1" s="2" t="s">
        <v>19</v>
      </c>
      <c r="B1" s="2"/>
      <c r="C1" s="2"/>
      <c r="D1" s="2"/>
      <c r="E1" s="2"/>
      <c r="F1" s="2"/>
      <c r="G1" s="2"/>
      <c r="H1" s="2"/>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row>
    <row r="2" customFormat="false" ht="15" hidden="false" customHeight="true" outlineLevel="0" collapsed="false">
      <c r="A2" s="3"/>
      <c r="B2" s="3"/>
      <c r="C2" s="3"/>
      <c r="D2" s="3"/>
      <c r="E2" s="3"/>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row>
    <row r="3" customFormat="false" ht="15" hidden="false" customHeight="true" outlineLevel="0" collapsed="false">
      <c r="A3" s="7" t="s">
        <v>20</v>
      </c>
      <c r="B3" s="7"/>
      <c r="C3" s="7"/>
      <c r="D3" s="7"/>
      <c r="E3" s="7"/>
      <c r="F3" s="7"/>
      <c r="G3" s="7"/>
      <c r="H3" s="7"/>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row>
    <row r="4" customFormat="false" ht="15" hidden="false" customHeight="true" outlineLevel="0" collapsed="false">
      <c r="A4" s="3"/>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row>
    <row r="5" customFormat="false" ht="21.75" hidden="false" customHeight="true" outlineLevel="0" collapsed="false">
      <c r="A5" s="8" t="s">
        <v>21</v>
      </c>
      <c r="B5" s="8"/>
      <c r="C5" s="8"/>
      <c r="D5" s="8"/>
      <c r="E5" s="8"/>
      <c r="F5" s="8"/>
      <c r="G5" s="8"/>
      <c r="H5" s="8"/>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row>
    <row r="6" customFormat="false" ht="15" hidden="false" customHeight="true" outlineLevel="0" collapsed="false">
      <c r="A6" s="9" t="s">
        <v>22</v>
      </c>
      <c r="B6" s="9" t="s">
        <v>23</v>
      </c>
      <c r="C6" s="9" t="s">
        <v>24</v>
      </c>
      <c r="D6" s="9" t="s">
        <v>25</v>
      </c>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row>
    <row r="7" customFormat="false" ht="27.75" hidden="false" customHeight="true" outlineLevel="0" collapsed="false">
      <c r="A7" s="3" t="s">
        <v>26</v>
      </c>
      <c r="B7" s="3" t="s">
        <v>27</v>
      </c>
      <c r="C7" s="3" t="s">
        <v>28</v>
      </c>
      <c r="D7" s="3" t="s">
        <v>29</v>
      </c>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row>
    <row r="8" customFormat="false" ht="27.75" hidden="false" customHeight="true" outlineLevel="0" collapsed="false">
      <c r="A8" s="3" t="s">
        <v>30</v>
      </c>
      <c r="B8" s="3" t="s">
        <v>31</v>
      </c>
      <c r="C8" s="3" t="s">
        <v>32</v>
      </c>
      <c r="D8" s="3" t="s">
        <v>33</v>
      </c>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row>
    <row r="9" customFormat="false" ht="15" hidden="false" customHeight="true" outlineLevel="0" collapsed="false">
      <c r="A9" s="3" t="s">
        <v>34</v>
      </c>
      <c r="B9" s="3" t="s">
        <v>35</v>
      </c>
      <c r="C9" s="3" t="s">
        <v>36</v>
      </c>
      <c r="D9" s="3" t="s">
        <v>37</v>
      </c>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row>
    <row r="10" customFormat="false" ht="15" hidden="false" customHeight="true" outlineLevel="0" collapsed="false">
      <c r="A10" s="3" t="s">
        <v>38</v>
      </c>
      <c r="B10" s="3" t="s">
        <v>39</v>
      </c>
      <c r="C10" s="3" t="s">
        <v>40</v>
      </c>
      <c r="D10" s="3" t="s">
        <v>41</v>
      </c>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row>
    <row r="11" customFormat="false" ht="15" hidden="false" customHeight="true" outlineLevel="0" collapsed="false">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row>
    <row r="12" customFormat="false" ht="21.75" hidden="false" customHeight="true" outlineLevel="0" collapsed="false">
      <c r="A12" s="8" t="s">
        <v>42</v>
      </c>
      <c r="B12" s="8"/>
      <c r="C12" s="8"/>
      <c r="D12" s="8"/>
      <c r="E12" s="8"/>
      <c r="F12" s="8"/>
      <c r="G12" s="8"/>
      <c r="H12" s="8"/>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row>
    <row r="13" customFormat="false" ht="15" hidden="false" customHeight="true" outlineLevel="0" collapsed="false">
      <c r="A13" s="3" t="s">
        <v>43</v>
      </c>
      <c r="B13" s="3" t="s">
        <v>44</v>
      </c>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row>
    <row r="14" customFormat="false" ht="27.75" hidden="false" customHeight="true" outlineLevel="0" collapsed="false">
      <c r="A14" s="3" t="s">
        <v>45</v>
      </c>
      <c r="B14" s="3" t="s">
        <v>46</v>
      </c>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row>
    <row r="15" customFormat="false" ht="27.75" hidden="false" customHeight="true" outlineLevel="0" collapsed="false">
      <c r="A15" s="3" t="s">
        <v>47</v>
      </c>
      <c r="B15" s="3" t="s">
        <v>48</v>
      </c>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row>
    <row r="16" customFormat="false" ht="15" hidden="false" customHeight="true" outlineLevel="0" collapsed="false">
      <c r="A16" s="3" t="s">
        <v>49</v>
      </c>
      <c r="B16" s="3" t="s">
        <v>50</v>
      </c>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row>
    <row r="17" customFormat="false" ht="27.75" hidden="false" customHeight="true" outlineLevel="0" collapsed="false">
      <c r="A17" s="3" t="s">
        <v>51</v>
      </c>
      <c r="B17" s="3" t="s">
        <v>52</v>
      </c>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row>
    <row r="18" customFormat="false" ht="27.75" hidden="false" customHeight="true" outlineLevel="0" collapsed="false">
      <c r="A18" s="3" t="s">
        <v>53</v>
      </c>
      <c r="B18" s="3" t="s">
        <v>54</v>
      </c>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row>
    <row r="19" customFormat="false" ht="27.75" hidden="false" customHeight="true" outlineLevel="0" collapsed="false">
      <c r="A19" s="3" t="s">
        <v>55</v>
      </c>
      <c r="B19" s="3" t="s">
        <v>56</v>
      </c>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row>
    <row r="20" customFormat="false" ht="27.75" hidden="false" customHeight="true" outlineLevel="0" collapsed="false">
      <c r="A20" s="3" t="s">
        <v>57</v>
      </c>
      <c r="B20" s="3" t="s">
        <v>58</v>
      </c>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row>
    <row r="21" customFormat="false" ht="15" hidden="false" customHeight="true" outlineLevel="0" collapsed="false">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row>
    <row r="22" customFormat="false" ht="15" hidden="false" customHeight="true" outlineLevel="0" collapsed="false">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row>
    <row r="23" customFormat="false" ht="15" hidden="false" customHeight="true" outlineLevel="0" collapsed="false">
      <c r="A23" s="3"/>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row>
    <row r="24" customFormat="false" ht="15" hidden="false" customHeight="true" outlineLevel="0" collapsed="false">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row>
    <row r="25" customFormat="false" ht="15" hidden="false" customHeight="true" outlineLevel="0" collapsed="false">
      <c r="A25" s="3"/>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row>
    <row r="26" customFormat="false" ht="15" hidden="false" customHeight="true" outlineLevel="0" collapsed="false">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row>
    <row r="27" customFormat="false" ht="15" hidden="false" customHeight="true" outlineLevel="0" collapsed="false">
      <c r="A27" s="3"/>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row>
    <row r="28" customFormat="false" ht="15" hidden="false" customHeight="true" outlineLevel="0" collapsed="false">
      <c r="A28" s="3"/>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row>
    <row r="29" customFormat="false" ht="15" hidden="false" customHeight="true" outlineLevel="0" collapsed="false">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row>
    <row r="30" customFormat="false" ht="15" hidden="false" customHeight="true" outlineLevel="0" collapsed="false">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row>
    <row r="31" customFormat="false" ht="15" hidden="false" customHeight="true" outlineLevel="0" collapsed="false">
      <c r="A31" s="3"/>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row>
    <row r="32" customFormat="false" ht="15" hidden="false" customHeight="true" outlineLevel="0" collapsed="false">
      <c r="A32" s="3"/>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row>
    <row r="33" customFormat="false" ht="15" hidden="false" customHeight="true" outlineLevel="0" collapsed="false">
      <c r="A33" s="3"/>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row>
    <row r="34" customFormat="false" ht="15" hidden="false" customHeight="true" outlineLevel="0" collapsed="false">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row>
    <row r="35" customFormat="false" ht="15" hidden="false" customHeight="true" outlineLevel="0" collapsed="false">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row>
    <row r="36" customFormat="false" ht="15" hidden="false" customHeight="true" outlineLevel="0" collapsed="false">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row>
    <row r="37" customFormat="false" ht="15" hidden="false" customHeight="true" outlineLevel="0" collapsed="false">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row>
    <row r="38" customFormat="false" ht="15" hidden="false" customHeight="true" outlineLevel="0" collapsed="false">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row>
    <row r="39" customFormat="false" ht="15" hidden="false" customHeight="true" outlineLevel="0" collapsed="false">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row>
    <row r="40" customFormat="false" ht="15" hidden="false" customHeight="true" outlineLevel="0" collapsed="false">
      <c r="A40" s="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row>
    <row r="41" customFormat="false" ht="15" hidden="false" customHeight="true" outlineLevel="0" collapsed="false">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row>
    <row r="42" customFormat="false" ht="15" hidden="false" customHeight="true" outlineLevel="0" collapsed="false">
      <c r="A42" s="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row>
    <row r="43" customFormat="false" ht="15" hidden="false" customHeight="true" outlineLevel="0" collapsed="false">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row>
    <row r="44" customFormat="false" ht="15" hidden="false" customHeight="true" outlineLevel="0" collapsed="false">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row>
    <row r="45" customFormat="false" ht="15" hidden="false" customHeight="true" outlineLevel="0" collapsed="false">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row>
    <row r="46" customFormat="false" ht="15" hidden="false" customHeight="true" outlineLevel="0" collapsed="false">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row>
    <row r="47" customFormat="false" ht="1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row>
    <row r="48" customFormat="false" ht="15" hidden="false" customHeight="true" outlineLevel="0" collapsed="false">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row>
    <row r="49" customFormat="false" ht="15" hidden="false" customHeight="true" outlineLevel="0" collapsed="false">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row>
    <row r="50" customFormat="false" ht="15" hidden="false" customHeight="true" outlineLevel="0" collapsed="false">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row>
    <row r="51" customFormat="false" ht="15" hidden="false" customHeight="true" outlineLevel="0" collapsed="false">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row>
    <row r="52" customFormat="false" ht="15" hidden="false" customHeight="true" outlineLevel="0" collapsed="false">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row>
    <row r="53" customFormat="false" ht="15" hidden="false" customHeight="true" outlineLevel="0" collapsed="false">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row>
    <row r="54" customFormat="false" ht="15" hidden="false" customHeight="true" outlineLevel="0" collapsed="false">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row>
    <row r="55" customFormat="false" ht="15" hidden="false" customHeight="true" outlineLevel="0" collapsed="false">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row>
    <row r="56" customFormat="false" ht="15" hidden="false" customHeight="true" outlineLevel="0" collapsed="false">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row>
    <row r="57" customFormat="false" ht="15" hidden="false" customHeight="tru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row>
    <row r="58" customFormat="false" ht="15" hidden="false" customHeight="true" outlineLevel="0" collapsed="false">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row>
    <row r="59" customFormat="false" ht="15" hidden="false" customHeight="true" outlineLevel="0" collapsed="false">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row>
    <row r="60" customFormat="false" ht="15" hidden="false" customHeight="true" outlineLevel="0" collapsed="false">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row>
    <row r="61" customFormat="false" ht="15" hidden="false" customHeight="true" outlineLevel="0" collapsed="false">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row>
    <row r="62" customFormat="false" ht="15" hidden="false" customHeight="true" outlineLevel="0" collapsed="false">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row>
    <row r="63" customFormat="false" ht="15" hidden="false" customHeight="true" outlineLevel="0" collapsed="false">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row>
    <row r="64" customFormat="false" ht="15" hidden="false" customHeight="true" outlineLevel="0" collapsed="false">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row>
    <row r="65" customFormat="false" ht="15" hidden="false" customHeight="true" outlineLevel="0" collapsed="false">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row>
    <row r="66" customFormat="false" ht="15" hidden="false" customHeight="true" outlineLevel="0" collapsed="false">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row>
    <row r="67" customFormat="false" ht="15" hidden="false" customHeight="true" outlineLevel="0" collapsed="false">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row>
    <row r="68" customFormat="false" ht="15" hidden="false" customHeight="true" outlineLevel="0" collapsed="false">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row>
    <row r="69" customFormat="false" ht="15" hidden="false" customHeight="true" outlineLevel="0" collapsed="false">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row>
    <row r="70" customFormat="false" ht="15" hidden="false" customHeight="true" outlineLevel="0" collapsed="false">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row>
    <row r="71" customFormat="false" ht="15" hidden="false" customHeight="true" outlineLevel="0" collapsed="false">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row>
    <row r="72" customFormat="false" ht="15" hidden="false" customHeight="true" outlineLevel="0" collapsed="false">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row>
    <row r="73" customFormat="false" ht="15" hidden="false" customHeight="true" outlineLevel="0" collapsed="false">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row>
    <row r="74" customFormat="false" ht="15" hidden="false" customHeight="true" outlineLevel="0" collapsed="false">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row>
    <row r="75" customFormat="false" ht="15" hidden="false" customHeight="true" outlineLevel="0" collapsed="false">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row>
    <row r="76" customFormat="false" ht="15" hidden="false" customHeight="true" outlineLevel="0" collapsed="false">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row>
    <row r="77" customFormat="false" ht="15" hidden="false" customHeight="true" outlineLevel="0" collapsed="false">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row>
    <row r="78" customFormat="false" ht="15" hidden="false" customHeight="true" outlineLevel="0" collapsed="false">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row>
    <row r="79" customFormat="false" ht="15" hidden="false" customHeight="true" outlineLevel="0" collapsed="false">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row>
    <row r="80" customFormat="false" ht="15" hidden="false" customHeight="true" outlineLevel="0" collapsed="false">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row>
    <row r="81" customFormat="false" ht="15" hidden="false" customHeight="true" outlineLevel="0" collapsed="false">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row>
    <row r="82" customFormat="false" ht="15" hidden="false" customHeight="true" outlineLevel="0" collapsed="false">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row>
    <row r="83" customFormat="false" ht="15" hidden="false" customHeight="true" outlineLevel="0" collapsed="false">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row>
    <row r="84" customFormat="false" ht="15" hidden="false" customHeight="true" outlineLevel="0" collapsed="false">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row>
    <row r="85" customFormat="false" ht="15" hidden="false" customHeight="true" outlineLevel="0" collapsed="false">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row>
    <row r="86" customFormat="false" ht="15" hidden="false" customHeight="true" outlineLevel="0" collapsed="false">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row>
    <row r="87" customFormat="false" ht="15" hidden="false" customHeight="true" outlineLevel="0" collapsed="false">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row>
    <row r="88" customFormat="false" ht="15" hidden="false" customHeight="true" outlineLevel="0" collapsed="false">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row>
    <row r="89" customFormat="false" ht="15" hidden="false" customHeight="true" outlineLevel="0" collapsed="false">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row>
    <row r="90" customFormat="false" ht="15" hidden="false" customHeight="true" outlineLevel="0" collapsed="false">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row>
    <row r="91" customFormat="false" ht="15" hidden="false" customHeight="true" outlineLevel="0" collapsed="false">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row>
    <row r="92" customFormat="false" ht="15" hidden="false" customHeight="true" outlineLevel="0" collapsed="false">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row>
    <row r="93" customFormat="false" ht="15" hidden="false" customHeight="true" outlineLevel="0" collapsed="false">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row>
    <row r="94" customFormat="false" ht="15" hidden="false" customHeight="true" outlineLevel="0" collapsed="false">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row>
    <row r="95" customFormat="false" ht="15" hidden="false" customHeight="true" outlineLevel="0" collapsed="false">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row>
    <row r="96" customFormat="false" ht="15" hidden="false" customHeight="true" outlineLevel="0" collapsed="false">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row>
    <row r="97" customFormat="false" ht="15" hidden="false" customHeight="true" outlineLevel="0" collapsed="false">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row>
    <row r="98" customFormat="false" ht="15" hidden="false" customHeight="true" outlineLevel="0" collapsed="false">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row>
    <row r="99" customFormat="false" ht="15" hidden="false" customHeight="true" outlineLevel="0" collapsed="false">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row>
    <row r="100" customFormat="false" ht="15" hidden="false" customHeight="true" outlineLevel="0" collapsed="false">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row>
  </sheetData>
  <mergeCells count="4">
    <mergeCell ref="A1:H1"/>
    <mergeCell ref="A3:H3"/>
    <mergeCell ref="A5:H5"/>
    <mergeCell ref="A12:H1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I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8" min="1" style="1" width="22"/>
  </cols>
  <sheetData>
    <row r="1" customFormat="false" ht="30" hidden="false" customHeight="true" outlineLevel="0" collapsed="false">
      <c r="A1" s="2" t="s">
        <v>59</v>
      </c>
      <c r="B1" s="2"/>
      <c r="C1" s="2"/>
      <c r="D1" s="2"/>
      <c r="E1" s="2"/>
      <c r="F1" s="2"/>
      <c r="G1" s="2"/>
      <c r="H1" s="2"/>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row>
    <row r="2" customFormat="false" ht="15" hidden="false" customHeight="true" outlineLevel="0" collapsed="false">
      <c r="A2" s="3"/>
      <c r="B2" s="3"/>
      <c r="C2" s="3"/>
      <c r="D2" s="3"/>
      <c r="E2" s="3"/>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row>
    <row r="3" customFormat="false" ht="15" hidden="false" customHeight="true" outlineLevel="0" collapsed="false">
      <c r="A3" s="9" t="s">
        <v>60</v>
      </c>
      <c r="B3" s="9" t="s">
        <v>61</v>
      </c>
      <c r="C3" s="9" t="s">
        <v>62</v>
      </c>
      <c r="D3" s="9" t="s">
        <v>25</v>
      </c>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row>
    <row r="4" customFormat="false" ht="15" hidden="false" customHeight="true" outlineLevel="0" collapsed="false">
      <c r="A4" s="3" t="s">
        <v>11</v>
      </c>
      <c r="B4" s="5"/>
      <c r="C4" s="5"/>
      <c r="D4" s="5"/>
      <c r="E4" s="3"/>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row>
    <row r="5" customFormat="false" ht="15" hidden="false" customHeight="true" outlineLevel="0" collapsed="false">
      <c r="A5" s="3" t="s">
        <v>12</v>
      </c>
      <c r="B5" s="5"/>
      <c r="C5" s="5"/>
      <c r="D5" s="5"/>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row>
    <row r="6" customFormat="false" ht="15" hidden="false" customHeight="true" outlineLevel="0" collapsed="false">
      <c r="A6" s="3" t="s">
        <v>63</v>
      </c>
      <c r="B6" s="5"/>
      <c r="C6" s="5"/>
      <c r="D6" s="5"/>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row>
    <row r="7" customFormat="false" ht="27.75" hidden="false" customHeight="true" outlineLevel="0" collapsed="false">
      <c r="A7" s="3" t="s">
        <v>14</v>
      </c>
      <c r="B7" s="10" t="n">
        <v>46210</v>
      </c>
      <c r="C7" s="5" t="s">
        <v>64</v>
      </c>
      <c r="D7" s="5"/>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row>
    <row r="8" customFormat="false" ht="15" hidden="false" customHeight="true" outlineLevel="0" collapsed="false">
      <c r="A8" s="3" t="s">
        <v>13</v>
      </c>
      <c r="B8" s="5"/>
      <c r="C8" s="5"/>
      <c r="D8" s="5"/>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row>
    <row r="9" customFormat="false" ht="15" hidden="false" customHeight="true" outlineLevel="0" collapsed="false">
      <c r="A9" s="3" t="s">
        <v>65</v>
      </c>
      <c r="B9" s="5"/>
      <c r="C9" s="5"/>
      <c r="D9" s="5" t="s">
        <v>66</v>
      </c>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row>
    <row r="10" customFormat="false" ht="15" hidden="false" customHeight="true" outlineLevel="0" collapsed="false">
      <c r="A10" s="3" t="s">
        <v>67</v>
      </c>
      <c r="B10" s="11"/>
      <c r="C10" s="5"/>
      <c r="D10" s="5"/>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row>
    <row r="11" customFormat="false" ht="15" hidden="false" customHeight="true" outlineLevel="0" collapsed="false">
      <c r="A11" s="3" t="s">
        <v>68</v>
      </c>
      <c r="B11" s="11" t="n">
        <v>0</v>
      </c>
      <c r="C11" s="5"/>
      <c r="D11" s="5"/>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row>
    <row r="12" customFormat="false" ht="15" hidden="false" customHeight="true" outlineLevel="0" collapsed="false">
      <c r="A12" s="3" t="s">
        <v>69</v>
      </c>
      <c r="B12" s="12" t="n">
        <v>0</v>
      </c>
      <c r="C12" s="5"/>
      <c r="D12" s="5"/>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row>
    <row r="13" customFormat="false" ht="27.75" hidden="false" customHeight="true" outlineLevel="0" collapsed="false">
      <c r="A13" s="3" t="s">
        <v>70</v>
      </c>
      <c r="B13" s="5" t="n">
        <v>0</v>
      </c>
      <c r="C13" s="5"/>
      <c r="D13" s="5" t="s">
        <v>71</v>
      </c>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row>
    <row r="14" customFormat="false" ht="41.25" hidden="false" customHeight="true" outlineLevel="0" collapsed="false">
      <c r="A14" s="3" t="s">
        <v>72</v>
      </c>
      <c r="B14" s="5"/>
      <c r="C14" s="5"/>
      <c r="D14" s="5" t="s">
        <v>73</v>
      </c>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row>
    <row r="15" customFormat="false" ht="15" hidden="false" customHeight="true" outlineLevel="0" collapsed="false">
      <c r="A15" s="3" t="s">
        <v>74</v>
      </c>
      <c r="B15" s="5"/>
      <c r="C15" s="5"/>
      <c r="D15" s="5"/>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row>
    <row r="16" customFormat="false" ht="15" hidden="false" customHeight="true" outlineLevel="0" collapsed="false">
      <c r="A16" s="3" t="s">
        <v>75</v>
      </c>
      <c r="B16" s="5"/>
      <c r="C16" s="5"/>
      <c r="D16" s="5"/>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row>
    <row r="17" customFormat="false" ht="27.75" hidden="false" customHeight="true" outlineLevel="0" collapsed="false">
      <c r="A17" s="3" t="s">
        <v>76</v>
      </c>
      <c r="B17" s="5"/>
      <c r="C17" s="5"/>
      <c r="D17" s="5"/>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row>
    <row r="18" customFormat="false" ht="27.75" hidden="false" customHeight="true" outlineLevel="0" collapsed="false">
      <c r="A18" s="3" t="s">
        <v>77</v>
      </c>
      <c r="B18" s="5"/>
      <c r="C18" s="5"/>
      <c r="D18" s="5"/>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row>
    <row r="19" customFormat="false" ht="15" hidden="false" customHeight="true" outlineLevel="0" collapsed="false">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row>
    <row r="20" customFormat="false" ht="15" hidden="false" customHeight="true" outlineLevel="0" collapsed="false">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row>
    <row r="21" customFormat="false" ht="15" hidden="false" customHeight="true" outlineLevel="0" collapsed="false">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row>
    <row r="22" customFormat="false" ht="15" hidden="false" customHeight="true" outlineLevel="0" collapsed="false">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row>
    <row r="23" customFormat="false" ht="15" hidden="false" customHeight="true" outlineLevel="0" collapsed="false">
      <c r="A23" s="3"/>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row>
    <row r="24" customFormat="false" ht="15" hidden="false" customHeight="true" outlineLevel="0" collapsed="false">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row>
    <row r="25" customFormat="false" ht="15" hidden="false" customHeight="true" outlineLevel="0" collapsed="false">
      <c r="A25" s="3"/>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row>
    <row r="26" customFormat="false" ht="15" hidden="false" customHeight="true" outlineLevel="0" collapsed="false">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row>
    <row r="27" customFormat="false" ht="15" hidden="false" customHeight="true" outlineLevel="0" collapsed="false">
      <c r="A27" s="3"/>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row>
    <row r="28" customFormat="false" ht="15" hidden="false" customHeight="true" outlineLevel="0" collapsed="false">
      <c r="A28" s="3"/>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row>
    <row r="29" customFormat="false" ht="15" hidden="false" customHeight="true" outlineLevel="0" collapsed="false">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row>
    <row r="30" customFormat="false" ht="15" hidden="false" customHeight="true" outlineLevel="0" collapsed="false">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row>
    <row r="31" customFormat="false" ht="15" hidden="false" customHeight="true" outlineLevel="0" collapsed="false">
      <c r="A31" s="3"/>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row>
    <row r="32" customFormat="false" ht="15" hidden="false" customHeight="true" outlineLevel="0" collapsed="false">
      <c r="A32" s="3"/>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row>
    <row r="33" customFormat="false" ht="15" hidden="false" customHeight="true" outlineLevel="0" collapsed="false">
      <c r="A33" s="3"/>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row>
    <row r="34" customFormat="false" ht="15" hidden="false" customHeight="true" outlineLevel="0" collapsed="false">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row>
    <row r="35" customFormat="false" ht="15" hidden="false" customHeight="true" outlineLevel="0" collapsed="false">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row>
    <row r="36" customFormat="false" ht="15" hidden="false" customHeight="true" outlineLevel="0" collapsed="false">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row>
    <row r="37" customFormat="false" ht="15" hidden="false" customHeight="true" outlineLevel="0" collapsed="false">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row>
    <row r="38" customFormat="false" ht="15" hidden="false" customHeight="true" outlineLevel="0" collapsed="false">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row>
    <row r="39" customFormat="false" ht="15" hidden="false" customHeight="true" outlineLevel="0" collapsed="false">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row>
    <row r="40" customFormat="false" ht="15" hidden="false" customHeight="true" outlineLevel="0" collapsed="false">
      <c r="A40" s="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row>
    <row r="41" customFormat="false" ht="15" hidden="false" customHeight="true" outlineLevel="0" collapsed="false">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row>
    <row r="42" customFormat="false" ht="15" hidden="false" customHeight="true" outlineLevel="0" collapsed="false">
      <c r="A42" s="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row>
    <row r="43" customFormat="false" ht="15" hidden="false" customHeight="true" outlineLevel="0" collapsed="false">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row>
    <row r="44" customFormat="false" ht="15" hidden="false" customHeight="true" outlineLevel="0" collapsed="false">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row>
    <row r="45" customFormat="false" ht="15" hidden="false" customHeight="true" outlineLevel="0" collapsed="false">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row>
    <row r="46" customFormat="false" ht="15" hidden="false" customHeight="true" outlineLevel="0" collapsed="false">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row>
    <row r="47" customFormat="false" ht="1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row>
    <row r="48" customFormat="false" ht="15" hidden="false" customHeight="true" outlineLevel="0" collapsed="false">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row>
    <row r="49" customFormat="false" ht="15" hidden="false" customHeight="true" outlineLevel="0" collapsed="false">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row>
    <row r="50" customFormat="false" ht="15" hidden="false" customHeight="true" outlineLevel="0" collapsed="false">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row>
    <row r="51" customFormat="false" ht="15" hidden="false" customHeight="true" outlineLevel="0" collapsed="false">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row>
    <row r="52" customFormat="false" ht="15" hidden="false" customHeight="true" outlineLevel="0" collapsed="false">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row>
    <row r="53" customFormat="false" ht="15" hidden="false" customHeight="true" outlineLevel="0" collapsed="false">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row>
    <row r="54" customFormat="false" ht="15" hidden="false" customHeight="true" outlineLevel="0" collapsed="false">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row>
    <row r="55" customFormat="false" ht="15" hidden="false" customHeight="true" outlineLevel="0" collapsed="false">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row>
    <row r="56" customFormat="false" ht="15" hidden="false" customHeight="true" outlineLevel="0" collapsed="false">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row>
    <row r="57" customFormat="false" ht="15" hidden="false" customHeight="tru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row>
    <row r="58" customFormat="false" ht="15" hidden="false" customHeight="true" outlineLevel="0" collapsed="false">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row>
    <row r="59" customFormat="false" ht="15" hidden="false" customHeight="true" outlineLevel="0" collapsed="false">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row>
    <row r="60" customFormat="false" ht="15" hidden="false" customHeight="true" outlineLevel="0" collapsed="false">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row>
    <row r="61" customFormat="false" ht="15" hidden="false" customHeight="true" outlineLevel="0" collapsed="false">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row>
    <row r="62" customFormat="false" ht="15" hidden="false" customHeight="true" outlineLevel="0" collapsed="false">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row>
    <row r="63" customFormat="false" ht="15" hidden="false" customHeight="true" outlineLevel="0" collapsed="false">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row>
    <row r="64" customFormat="false" ht="15" hidden="false" customHeight="true" outlineLevel="0" collapsed="false">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row>
    <row r="65" customFormat="false" ht="15" hidden="false" customHeight="true" outlineLevel="0" collapsed="false">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row>
    <row r="66" customFormat="false" ht="15" hidden="false" customHeight="true" outlineLevel="0" collapsed="false">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row>
    <row r="67" customFormat="false" ht="15" hidden="false" customHeight="true" outlineLevel="0" collapsed="false">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row>
    <row r="68" customFormat="false" ht="15" hidden="false" customHeight="true" outlineLevel="0" collapsed="false">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row>
    <row r="69" customFormat="false" ht="15" hidden="false" customHeight="true" outlineLevel="0" collapsed="false">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row>
    <row r="70" customFormat="false" ht="15" hidden="false" customHeight="true" outlineLevel="0" collapsed="false">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row>
    <row r="71" customFormat="false" ht="15" hidden="false" customHeight="true" outlineLevel="0" collapsed="false">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row>
    <row r="72" customFormat="false" ht="15" hidden="false" customHeight="true" outlineLevel="0" collapsed="false">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row>
    <row r="73" customFormat="false" ht="15" hidden="false" customHeight="true" outlineLevel="0" collapsed="false">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row>
    <row r="74" customFormat="false" ht="15" hidden="false" customHeight="true" outlineLevel="0" collapsed="false">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row>
    <row r="75" customFormat="false" ht="15" hidden="false" customHeight="true" outlineLevel="0" collapsed="false">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row>
    <row r="76" customFormat="false" ht="15" hidden="false" customHeight="true" outlineLevel="0" collapsed="false">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row>
    <row r="77" customFormat="false" ht="15" hidden="false" customHeight="true" outlineLevel="0" collapsed="false">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row>
    <row r="78" customFormat="false" ht="15" hidden="false" customHeight="true" outlineLevel="0" collapsed="false">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row>
    <row r="79" customFormat="false" ht="15" hidden="false" customHeight="true" outlineLevel="0" collapsed="false">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row>
    <row r="80" customFormat="false" ht="15" hidden="false" customHeight="true" outlineLevel="0" collapsed="false">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row>
    <row r="81" customFormat="false" ht="15" hidden="false" customHeight="true" outlineLevel="0" collapsed="false">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row>
    <row r="82" customFormat="false" ht="15" hidden="false" customHeight="true" outlineLevel="0" collapsed="false">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row>
    <row r="83" customFormat="false" ht="15" hidden="false" customHeight="true" outlineLevel="0" collapsed="false">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row>
    <row r="84" customFormat="false" ht="15" hidden="false" customHeight="true" outlineLevel="0" collapsed="false">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row>
    <row r="85" customFormat="false" ht="15" hidden="false" customHeight="true" outlineLevel="0" collapsed="false">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row>
    <row r="86" customFormat="false" ht="15" hidden="false" customHeight="true" outlineLevel="0" collapsed="false">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row>
    <row r="87" customFormat="false" ht="15" hidden="false" customHeight="true" outlineLevel="0" collapsed="false">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row>
    <row r="88" customFormat="false" ht="15" hidden="false" customHeight="true" outlineLevel="0" collapsed="false">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row>
    <row r="89" customFormat="false" ht="15" hidden="false" customHeight="true" outlineLevel="0" collapsed="false">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row>
    <row r="90" customFormat="false" ht="15" hidden="false" customHeight="true" outlineLevel="0" collapsed="false">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row>
    <row r="91" customFormat="false" ht="15" hidden="false" customHeight="true" outlineLevel="0" collapsed="false">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row>
    <row r="92" customFormat="false" ht="15" hidden="false" customHeight="true" outlineLevel="0" collapsed="false">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row>
    <row r="93" customFormat="false" ht="15" hidden="false" customHeight="true" outlineLevel="0" collapsed="false">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row>
    <row r="94" customFormat="false" ht="15" hidden="false" customHeight="true" outlineLevel="0" collapsed="false">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row>
    <row r="95" customFormat="false" ht="15" hidden="false" customHeight="true" outlineLevel="0" collapsed="false">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row>
    <row r="96" customFormat="false" ht="15" hidden="false" customHeight="true" outlineLevel="0" collapsed="false">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row>
    <row r="97" customFormat="false" ht="15" hidden="false" customHeight="true" outlineLevel="0" collapsed="false">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row>
    <row r="98" customFormat="false" ht="15" hidden="false" customHeight="true" outlineLevel="0" collapsed="false">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row>
    <row r="99" customFormat="false" ht="15" hidden="false" customHeight="true" outlineLevel="0" collapsed="false">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row>
    <row r="100" customFormat="false" ht="15" hidden="false" customHeight="true" outlineLevel="0" collapsed="false">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row>
  </sheetData>
  <mergeCells count="1">
    <mergeCell ref="A1:H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I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8" min="1" style="1" width="22"/>
  </cols>
  <sheetData>
    <row r="1" customFormat="false" ht="30" hidden="false" customHeight="true" outlineLevel="0" collapsed="false">
      <c r="A1" s="2" t="s">
        <v>78</v>
      </c>
      <c r="B1" s="2"/>
      <c r="C1" s="2"/>
      <c r="D1" s="2"/>
      <c r="E1" s="2"/>
      <c r="F1" s="2"/>
      <c r="G1" s="2"/>
      <c r="H1" s="2"/>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row>
    <row r="2" customFormat="false" ht="15" hidden="false" customHeight="true" outlineLevel="0" collapsed="false">
      <c r="A2" s="3"/>
      <c r="B2" s="3"/>
      <c r="C2" s="3"/>
      <c r="D2" s="3"/>
      <c r="E2" s="3"/>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row>
    <row r="3" customFormat="false" ht="15" hidden="false" customHeight="true" outlineLevel="0" collapsed="false">
      <c r="A3" s="9" t="s">
        <v>79</v>
      </c>
      <c r="B3" s="9" t="s">
        <v>60</v>
      </c>
      <c r="C3" s="9" t="s">
        <v>80</v>
      </c>
      <c r="D3" s="9" t="s">
        <v>62</v>
      </c>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row>
    <row r="4" customFormat="false" ht="27.75" hidden="false" customHeight="true" outlineLevel="0" collapsed="false">
      <c r="A4" s="3" t="s">
        <v>81</v>
      </c>
      <c r="B4" s="13" t="n">
        <v>0</v>
      </c>
      <c r="C4" s="5" t="s">
        <v>82</v>
      </c>
      <c r="D4" s="5"/>
      <c r="E4" s="3"/>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row>
    <row r="5" customFormat="false" ht="27.75" hidden="false" customHeight="true" outlineLevel="0" collapsed="false">
      <c r="A5" s="3" t="s">
        <v>83</v>
      </c>
      <c r="B5" s="14" t="n">
        <v>0</v>
      </c>
      <c r="C5" s="5" t="s">
        <v>84</v>
      </c>
      <c r="D5" s="5"/>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row>
    <row r="6" customFormat="false" ht="15" hidden="false" customHeight="true" outlineLevel="0" collapsed="false">
      <c r="A6" s="3" t="s">
        <v>85</v>
      </c>
      <c r="B6" s="14" t="n">
        <v>0</v>
      </c>
      <c r="C6" s="5" t="s">
        <v>86</v>
      </c>
      <c r="D6" s="5"/>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row>
    <row r="7" customFormat="false" ht="15" hidden="false" customHeight="true" outlineLevel="0" collapsed="false">
      <c r="A7" s="3" t="s">
        <v>87</v>
      </c>
      <c r="B7" s="14" t="n">
        <v>0</v>
      </c>
      <c r="C7" s="5" t="s">
        <v>88</v>
      </c>
      <c r="D7" s="5"/>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row>
    <row r="8" customFormat="false" ht="27.75" hidden="false" customHeight="true" outlineLevel="0" collapsed="false">
      <c r="A8" s="3" t="s">
        <v>89</v>
      </c>
      <c r="B8" s="14" t="n">
        <v>0</v>
      </c>
      <c r="C8" s="5" t="s">
        <v>88</v>
      </c>
      <c r="D8" s="5"/>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row>
    <row r="9" customFormat="false" ht="27.75" hidden="false" customHeight="true" outlineLevel="0" collapsed="false">
      <c r="A9" s="3" t="s">
        <v>90</v>
      </c>
      <c r="B9" s="15" t="n">
        <v>0</v>
      </c>
      <c r="C9" s="5" t="s">
        <v>91</v>
      </c>
      <c r="D9" s="5"/>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row>
    <row r="10" customFormat="false" ht="27.75" hidden="false" customHeight="true" outlineLevel="0" collapsed="false">
      <c r="A10" s="3" t="s">
        <v>92</v>
      </c>
      <c r="B10" s="15" t="n">
        <v>12</v>
      </c>
      <c r="C10" s="5" t="s">
        <v>93</v>
      </c>
      <c r="D10" s="5"/>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row>
    <row r="11" customFormat="false" ht="15" hidden="false" customHeight="true" outlineLevel="0" collapsed="false">
      <c r="A11" s="3" t="s">
        <v>94</v>
      </c>
      <c r="B11" s="15" t="n">
        <v>12</v>
      </c>
      <c r="C11" s="5" t="s">
        <v>93</v>
      </c>
      <c r="D11" s="5"/>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row>
    <row r="12" customFormat="false" ht="41.25" hidden="false" customHeight="true" outlineLevel="0" collapsed="false">
      <c r="A12" s="3" t="s">
        <v>95</v>
      </c>
      <c r="B12" s="5" t="n">
        <v>60</v>
      </c>
      <c r="C12" s="5" t="s">
        <v>93</v>
      </c>
      <c r="D12" s="5" t="s">
        <v>96</v>
      </c>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row>
    <row r="13" customFormat="false" ht="15" hidden="false" customHeight="true" outlineLevel="0" collapsed="false">
      <c r="A13" s="3" t="s">
        <v>97</v>
      </c>
      <c r="B13" s="5" t="s">
        <v>98</v>
      </c>
      <c r="C13" s="5" t="s">
        <v>98</v>
      </c>
      <c r="D13" s="5"/>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row>
    <row r="14" customFormat="false" ht="15" hidden="false" customHeight="true" outlineLevel="0" collapsed="false">
      <c r="A14" s="3" t="s">
        <v>99</v>
      </c>
      <c r="B14" s="5"/>
      <c r="C14" s="5" t="s">
        <v>100</v>
      </c>
      <c r="D14" s="5"/>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row>
    <row r="15" customFormat="false" ht="15" hidden="false" customHeight="true" outlineLevel="0" collapsed="false">
      <c r="A15" s="3" t="s">
        <v>101</v>
      </c>
      <c r="B15" s="5"/>
      <c r="C15" s="5" t="s">
        <v>100</v>
      </c>
      <c r="D15" s="5"/>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row>
    <row r="16" customFormat="false" ht="15" hidden="false" customHeight="true" outlineLevel="0" collapsed="false">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row>
    <row r="17" customFormat="false" ht="15" hidden="false" customHeight="true" outlineLevel="0" collapsed="false">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row>
    <row r="18" customFormat="false" ht="15" hidden="false" customHeight="true" outlineLevel="0" collapsed="false">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row>
    <row r="19" customFormat="false" ht="15" hidden="false" customHeight="true" outlineLevel="0" collapsed="false">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row>
    <row r="20" customFormat="false" ht="15" hidden="false" customHeight="true" outlineLevel="0" collapsed="false">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row>
    <row r="21" customFormat="false" ht="15" hidden="false" customHeight="true" outlineLevel="0" collapsed="false">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row>
    <row r="22" customFormat="false" ht="15" hidden="false" customHeight="true" outlineLevel="0" collapsed="false">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row>
    <row r="23" customFormat="false" ht="15" hidden="false" customHeight="true" outlineLevel="0" collapsed="false">
      <c r="A23" s="3"/>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row>
    <row r="24" customFormat="false" ht="15" hidden="false" customHeight="true" outlineLevel="0" collapsed="false">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row>
    <row r="25" customFormat="false" ht="15" hidden="false" customHeight="true" outlineLevel="0" collapsed="false">
      <c r="A25" s="3"/>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row>
    <row r="26" customFormat="false" ht="15" hidden="false" customHeight="true" outlineLevel="0" collapsed="false">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row>
    <row r="27" customFormat="false" ht="15" hidden="false" customHeight="true" outlineLevel="0" collapsed="false">
      <c r="A27" s="3"/>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row>
    <row r="28" customFormat="false" ht="15" hidden="false" customHeight="true" outlineLevel="0" collapsed="false">
      <c r="A28" s="3"/>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row>
    <row r="29" customFormat="false" ht="15" hidden="false" customHeight="true" outlineLevel="0" collapsed="false">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row>
    <row r="30" customFormat="false" ht="15" hidden="false" customHeight="true" outlineLevel="0" collapsed="false">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row>
    <row r="31" customFormat="false" ht="15" hidden="false" customHeight="true" outlineLevel="0" collapsed="false">
      <c r="A31" s="3"/>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row>
    <row r="32" customFormat="false" ht="15" hidden="false" customHeight="true" outlineLevel="0" collapsed="false">
      <c r="A32" s="3"/>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row>
    <row r="33" customFormat="false" ht="15" hidden="false" customHeight="true" outlineLevel="0" collapsed="false">
      <c r="A33" s="3"/>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row>
    <row r="34" customFormat="false" ht="15" hidden="false" customHeight="true" outlineLevel="0" collapsed="false">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row>
    <row r="35" customFormat="false" ht="15" hidden="false" customHeight="true" outlineLevel="0" collapsed="false">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row>
    <row r="36" customFormat="false" ht="15" hidden="false" customHeight="true" outlineLevel="0" collapsed="false">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row>
    <row r="37" customFormat="false" ht="15" hidden="false" customHeight="true" outlineLevel="0" collapsed="false">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row>
    <row r="38" customFormat="false" ht="15" hidden="false" customHeight="true" outlineLevel="0" collapsed="false">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row>
    <row r="39" customFormat="false" ht="15" hidden="false" customHeight="true" outlineLevel="0" collapsed="false">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row>
    <row r="40" customFormat="false" ht="15" hidden="false" customHeight="true" outlineLevel="0" collapsed="false">
      <c r="A40" s="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row>
    <row r="41" customFormat="false" ht="15" hidden="false" customHeight="true" outlineLevel="0" collapsed="false">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row>
    <row r="42" customFormat="false" ht="15" hidden="false" customHeight="true" outlineLevel="0" collapsed="false">
      <c r="A42" s="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row>
    <row r="43" customFormat="false" ht="15" hidden="false" customHeight="true" outlineLevel="0" collapsed="false">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row>
    <row r="44" customFormat="false" ht="15" hidden="false" customHeight="true" outlineLevel="0" collapsed="false">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row>
    <row r="45" customFormat="false" ht="15" hidden="false" customHeight="true" outlineLevel="0" collapsed="false">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row>
    <row r="46" customFormat="false" ht="15" hidden="false" customHeight="true" outlineLevel="0" collapsed="false">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row>
    <row r="47" customFormat="false" ht="1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row>
    <row r="48" customFormat="false" ht="15" hidden="false" customHeight="true" outlineLevel="0" collapsed="false">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row>
    <row r="49" customFormat="false" ht="15" hidden="false" customHeight="true" outlineLevel="0" collapsed="false">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row>
    <row r="50" customFormat="false" ht="15" hidden="false" customHeight="true" outlineLevel="0" collapsed="false">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row>
    <row r="51" customFormat="false" ht="15" hidden="false" customHeight="true" outlineLevel="0" collapsed="false">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row>
    <row r="52" customFormat="false" ht="15" hidden="false" customHeight="true" outlineLevel="0" collapsed="false">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row>
    <row r="53" customFormat="false" ht="15" hidden="false" customHeight="true" outlineLevel="0" collapsed="false">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row>
    <row r="54" customFormat="false" ht="15" hidden="false" customHeight="true" outlineLevel="0" collapsed="false">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row>
    <row r="55" customFormat="false" ht="15" hidden="false" customHeight="true" outlineLevel="0" collapsed="false">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row>
    <row r="56" customFormat="false" ht="15" hidden="false" customHeight="true" outlineLevel="0" collapsed="false">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row>
    <row r="57" customFormat="false" ht="15" hidden="false" customHeight="tru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row>
    <row r="58" customFormat="false" ht="15" hidden="false" customHeight="true" outlineLevel="0" collapsed="false">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row>
    <row r="59" customFormat="false" ht="15" hidden="false" customHeight="true" outlineLevel="0" collapsed="false">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row>
    <row r="60" customFormat="false" ht="15" hidden="false" customHeight="true" outlineLevel="0" collapsed="false">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row>
    <row r="61" customFormat="false" ht="15" hidden="false" customHeight="true" outlineLevel="0" collapsed="false">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row>
    <row r="62" customFormat="false" ht="15" hidden="false" customHeight="true" outlineLevel="0" collapsed="false">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row>
    <row r="63" customFormat="false" ht="15" hidden="false" customHeight="true" outlineLevel="0" collapsed="false">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row>
    <row r="64" customFormat="false" ht="15" hidden="false" customHeight="true" outlineLevel="0" collapsed="false">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row>
    <row r="65" customFormat="false" ht="15" hidden="false" customHeight="true" outlineLevel="0" collapsed="false">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row>
    <row r="66" customFormat="false" ht="15" hidden="false" customHeight="true" outlineLevel="0" collapsed="false">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row>
    <row r="67" customFormat="false" ht="15" hidden="false" customHeight="true" outlineLevel="0" collapsed="false">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row>
    <row r="68" customFormat="false" ht="15" hidden="false" customHeight="true" outlineLevel="0" collapsed="false">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row>
    <row r="69" customFormat="false" ht="15" hidden="false" customHeight="true" outlineLevel="0" collapsed="false">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row>
    <row r="70" customFormat="false" ht="15" hidden="false" customHeight="true" outlineLevel="0" collapsed="false">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row>
    <row r="71" customFormat="false" ht="15" hidden="false" customHeight="true" outlineLevel="0" collapsed="false">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row>
    <row r="72" customFormat="false" ht="15" hidden="false" customHeight="true" outlineLevel="0" collapsed="false">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row>
    <row r="73" customFormat="false" ht="15" hidden="false" customHeight="true" outlineLevel="0" collapsed="false">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row>
    <row r="74" customFormat="false" ht="15" hidden="false" customHeight="true" outlineLevel="0" collapsed="false">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row>
    <row r="75" customFormat="false" ht="15" hidden="false" customHeight="true" outlineLevel="0" collapsed="false">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row>
    <row r="76" customFormat="false" ht="15" hidden="false" customHeight="true" outlineLevel="0" collapsed="false">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row>
    <row r="77" customFormat="false" ht="15" hidden="false" customHeight="true" outlineLevel="0" collapsed="false">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row>
    <row r="78" customFormat="false" ht="15" hidden="false" customHeight="true" outlineLevel="0" collapsed="false">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row>
    <row r="79" customFormat="false" ht="15" hidden="false" customHeight="true" outlineLevel="0" collapsed="false">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row>
    <row r="80" customFormat="false" ht="15" hidden="false" customHeight="true" outlineLevel="0" collapsed="false">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row>
    <row r="81" customFormat="false" ht="15" hidden="false" customHeight="true" outlineLevel="0" collapsed="false">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row>
    <row r="82" customFormat="false" ht="15" hidden="false" customHeight="true" outlineLevel="0" collapsed="false">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row>
    <row r="83" customFormat="false" ht="15" hidden="false" customHeight="true" outlineLevel="0" collapsed="false">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row>
    <row r="84" customFormat="false" ht="15" hidden="false" customHeight="true" outlineLevel="0" collapsed="false">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row>
    <row r="85" customFormat="false" ht="15" hidden="false" customHeight="true" outlineLevel="0" collapsed="false">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row>
    <row r="86" customFormat="false" ht="15" hidden="false" customHeight="true" outlineLevel="0" collapsed="false">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row>
    <row r="87" customFormat="false" ht="15" hidden="false" customHeight="true" outlineLevel="0" collapsed="false">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row>
    <row r="88" customFormat="false" ht="15" hidden="false" customHeight="true" outlineLevel="0" collapsed="false">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row>
    <row r="89" customFormat="false" ht="15" hidden="false" customHeight="true" outlineLevel="0" collapsed="false">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row>
    <row r="90" customFormat="false" ht="15" hidden="false" customHeight="true" outlineLevel="0" collapsed="false">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row>
    <row r="91" customFormat="false" ht="15" hidden="false" customHeight="true" outlineLevel="0" collapsed="false">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row>
    <row r="92" customFormat="false" ht="15" hidden="false" customHeight="true" outlineLevel="0" collapsed="false">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row>
    <row r="93" customFormat="false" ht="15" hidden="false" customHeight="true" outlineLevel="0" collapsed="false">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row>
    <row r="94" customFormat="false" ht="15" hidden="false" customHeight="true" outlineLevel="0" collapsed="false">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row>
    <row r="95" customFormat="false" ht="15" hidden="false" customHeight="true" outlineLevel="0" collapsed="false">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row>
    <row r="96" customFormat="false" ht="15" hidden="false" customHeight="true" outlineLevel="0" collapsed="false">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row>
    <row r="97" customFormat="false" ht="15" hidden="false" customHeight="true" outlineLevel="0" collapsed="false">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row>
    <row r="98" customFormat="false" ht="15" hidden="false" customHeight="true" outlineLevel="0" collapsed="false">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row>
    <row r="99" customFormat="false" ht="15" hidden="false" customHeight="true" outlineLevel="0" collapsed="false">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row>
    <row r="100" customFormat="false" ht="15" hidden="false" customHeight="true" outlineLevel="0" collapsed="false">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row>
  </sheetData>
  <mergeCells count="1">
    <mergeCell ref="A1:H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I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8" min="1" style="1" width="22"/>
  </cols>
  <sheetData>
    <row r="1" customFormat="false" ht="30" hidden="false" customHeight="true" outlineLevel="0" collapsed="false">
      <c r="A1" s="2" t="s">
        <v>102</v>
      </c>
      <c r="B1" s="2"/>
      <c r="C1" s="2"/>
      <c r="D1" s="2"/>
      <c r="E1" s="2"/>
      <c r="F1" s="2"/>
      <c r="G1" s="2"/>
      <c r="H1" s="2"/>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row>
    <row r="2" customFormat="false" ht="15" hidden="false" customHeight="true" outlineLevel="0" collapsed="false">
      <c r="A2" s="3"/>
      <c r="B2" s="3"/>
      <c r="C2" s="3"/>
      <c r="D2" s="3"/>
      <c r="E2" s="3"/>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row>
    <row r="3" customFormat="false" ht="21.75" hidden="false" customHeight="true" outlineLevel="0" collapsed="false">
      <c r="A3" s="8" t="s">
        <v>103</v>
      </c>
      <c r="B3" s="8"/>
      <c r="C3" s="8"/>
      <c r="D3" s="8"/>
      <c r="E3" s="8"/>
      <c r="F3" s="8"/>
      <c r="G3" s="8"/>
      <c r="H3" s="8"/>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row>
    <row r="4" customFormat="false" ht="15" hidden="false" customHeight="true" outlineLevel="0" collapsed="false">
      <c r="A4" s="9" t="s">
        <v>104</v>
      </c>
      <c r="B4" s="9" t="s">
        <v>105</v>
      </c>
      <c r="C4" s="9" t="s">
        <v>106</v>
      </c>
      <c r="D4" s="9" t="s">
        <v>62</v>
      </c>
      <c r="E4" s="3"/>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row>
    <row r="5" customFormat="false" ht="15" hidden="false" customHeight="true" outlineLevel="0" collapsed="false">
      <c r="A5" s="3" t="s">
        <v>107</v>
      </c>
      <c r="B5" s="5" t="n">
        <v>0</v>
      </c>
      <c r="C5" s="5"/>
      <c r="D5" s="5"/>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row>
    <row r="6" customFormat="false" ht="15" hidden="false" customHeight="true" outlineLevel="0" collapsed="false">
      <c r="A6" s="3" t="s">
        <v>108</v>
      </c>
      <c r="B6" s="5" t="n">
        <v>0</v>
      </c>
      <c r="C6" s="5"/>
      <c r="D6" s="5"/>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row>
    <row r="7" customFormat="false" ht="15" hidden="false" customHeight="true" outlineLevel="0" collapsed="false">
      <c r="A7" s="3" t="s">
        <v>109</v>
      </c>
      <c r="B7" s="5" t="n">
        <v>0</v>
      </c>
      <c r="C7" s="5"/>
      <c r="D7" s="5"/>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row>
    <row r="8" customFormat="false" ht="15" hidden="false" customHeight="true" outlineLevel="0" collapsed="false">
      <c r="A8" s="3" t="s">
        <v>110</v>
      </c>
      <c r="B8" s="5" t="n">
        <v>0</v>
      </c>
      <c r="C8" s="5"/>
      <c r="D8" s="5"/>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row>
    <row r="9" customFormat="false" ht="15" hidden="false" customHeight="true" outlineLevel="0" collapsed="false">
      <c r="A9" s="3" t="s">
        <v>111</v>
      </c>
      <c r="B9" s="5" t="n">
        <v>0</v>
      </c>
      <c r="C9" s="5"/>
      <c r="D9" s="5"/>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row>
    <row r="10" customFormat="false" ht="15" hidden="false" customHeight="true" outlineLevel="0" collapsed="false">
      <c r="A10" s="3" t="s">
        <v>112</v>
      </c>
      <c r="B10" s="5" t="n">
        <v>0</v>
      </c>
      <c r="C10" s="5"/>
      <c r="D10" s="5"/>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row>
    <row r="11" customFormat="false" ht="15" hidden="false" customHeight="true" outlineLevel="0" collapsed="false">
      <c r="A11" s="3" t="s">
        <v>113</v>
      </c>
      <c r="B11" s="5" t="n">
        <v>0</v>
      </c>
      <c r="C11" s="5"/>
      <c r="D11" s="5"/>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row>
    <row r="12" customFormat="false" ht="15" hidden="false" customHeight="true" outlineLevel="0" collapsed="false">
      <c r="A12" s="3" t="s">
        <v>114</v>
      </c>
      <c r="B12" s="5" t="n">
        <v>0</v>
      </c>
      <c r="C12" s="5"/>
      <c r="D12" s="5"/>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row>
    <row r="13" customFormat="false" ht="15" hidden="false" customHeight="true" outlineLevel="0" collapsed="false">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row>
    <row r="14" customFormat="false" ht="27.75" hidden="false" customHeight="true" outlineLevel="0" collapsed="false">
      <c r="A14" s="3" t="s">
        <v>115</v>
      </c>
      <c r="B14" s="16" t="n">
        <f aca="false">SUM(B5:B12)</f>
        <v>0</v>
      </c>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row>
    <row r="15" customFormat="false" ht="15" hidden="false" customHeight="true" outlineLevel="0" collapsed="false">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row>
    <row r="16" customFormat="false" ht="15" hidden="false" customHeight="true" outlineLevel="0" collapsed="false">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row>
    <row r="17" customFormat="false" ht="21.75" hidden="false" customHeight="true" outlineLevel="0" collapsed="false">
      <c r="A17" s="8" t="s">
        <v>116</v>
      </c>
      <c r="B17" s="8"/>
      <c r="C17" s="8"/>
      <c r="D17" s="8"/>
      <c r="E17" s="8"/>
      <c r="F17" s="8"/>
      <c r="G17" s="8"/>
      <c r="H17" s="8"/>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row>
    <row r="18" customFormat="false" ht="15" hidden="false" customHeight="true" outlineLevel="0" collapsed="false">
      <c r="A18" s="9" t="s">
        <v>104</v>
      </c>
      <c r="B18" s="9" t="s">
        <v>105</v>
      </c>
      <c r="C18" s="9" t="s">
        <v>106</v>
      </c>
      <c r="D18" s="9" t="s">
        <v>62</v>
      </c>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row>
    <row r="19" customFormat="false" ht="15" hidden="false" customHeight="true" outlineLevel="0" collapsed="false">
      <c r="A19" s="3" t="s">
        <v>117</v>
      </c>
      <c r="B19" s="5" t="n">
        <v>0</v>
      </c>
      <c r="C19" s="5"/>
      <c r="D19" s="5"/>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row>
    <row r="20" customFormat="false" ht="15" hidden="false" customHeight="true" outlineLevel="0" collapsed="false">
      <c r="A20" s="3" t="s">
        <v>118</v>
      </c>
      <c r="B20" s="5" t="n">
        <v>0</v>
      </c>
      <c r="C20" s="5"/>
      <c r="D20" s="5"/>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row>
    <row r="21" customFormat="false" ht="15" hidden="false" customHeight="true" outlineLevel="0" collapsed="false">
      <c r="A21" s="3" t="s">
        <v>119</v>
      </c>
      <c r="B21" s="5" t="n">
        <v>0</v>
      </c>
      <c r="C21" s="5"/>
      <c r="D21" s="5"/>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row>
    <row r="22" customFormat="false" ht="15" hidden="false" customHeight="true" outlineLevel="0" collapsed="false">
      <c r="A22" s="3" t="s">
        <v>120</v>
      </c>
      <c r="B22" s="5" t="n">
        <v>0</v>
      </c>
      <c r="C22" s="5"/>
      <c r="D22" s="5"/>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row>
    <row r="23" customFormat="false" ht="15" hidden="false" customHeight="true" outlineLevel="0" collapsed="false">
      <c r="A23" s="3" t="s">
        <v>121</v>
      </c>
      <c r="B23" s="5" t="n">
        <v>0</v>
      </c>
      <c r="C23" s="5"/>
      <c r="D23" s="5"/>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row>
    <row r="24" customFormat="false" ht="15" hidden="false" customHeight="true" outlineLevel="0" collapsed="false">
      <c r="A24" s="3" t="s">
        <v>122</v>
      </c>
      <c r="B24" s="5" t="n">
        <v>0</v>
      </c>
      <c r="C24" s="5"/>
      <c r="D24" s="5"/>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row>
    <row r="25" customFormat="false" ht="15" hidden="false" customHeight="true" outlineLevel="0" collapsed="false">
      <c r="A25" s="3" t="s">
        <v>123</v>
      </c>
      <c r="B25" s="5" t="n">
        <v>0</v>
      </c>
      <c r="C25" s="5"/>
      <c r="D25" s="5"/>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row>
    <row r="26" customFormat="false" ht="27.75" hidden="false" customHeight="true" outlineLevel="0" collapsed="false">
      <c r="A26" s="3" t="s">
        <v>124</v>
      </c>
      <c r="B26" s="16" t="n">
        <f aca="false">SUM(B19:B25)</f>
        <v>0</v>
      </c>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row>
    <row r="27" customFormat="false" ht="15" hidden="false" customHeight="true" outlineLevel="0" collapsed="false">
      <c r="A27" s="3"/>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row>
    <row r="28" customFormat="false" ht="15" hidden="false" customHeight="true" outlineLevel="0" collapsed="false">
      <c r="A28" s="3"/>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row>
    <row r="29" customFormat="false" ht="15" hidden="false" customHeight="true" outlineLevel="0" collapsed="false">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row>
    <row r="30" customFormat="false" ht="15" hidden="false" customHeight="true" outlineLevel="0" collapsed="false">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row>
    <row r="31" customFormat="false" ht="15" hidden="false" customHeight="true" outlineLevel="0" collapsed="false">
      <c r="A31" s="3"/>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row>
    <row r="32" customFormat="false" ht="15" hidden="false" customHeight="true" outlineLevel="0" collapsed="false">
      <c r="A32" s="3"/>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row>
    <row r="33" customFormat="false" ht="15" hidden="false" customHeight="true" outlineLevel="0" collapsed="false">
      <c r="A33" s="3"/>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row>
    <row r="34" customFormat="false" ht="15" hidden="false" customHeight="true" outlineLevel="0" collapsed="false">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row>
    <row r="35" customFormat="false" ht="15" hidden="false" customHeight="true" outlineLevel="0" collapsed="false">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row>
    <row r="36" customFormat="false" ht="15" hidden="false" customHeight="true" outlineLevel="0" collapsed="false">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row>
    <row r="37" customFormat="false" ht="15" hidden="false" customHeight="true" outlineLevel="0" collapsed="false">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row>
    <row r="38" customFormat="false" ht="15" hidden="false" customHeight="true" outlineLevel="0" collapsed="false">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row>
    <row r="39" customFormat="false" ht="15" hidden="false" customHeight="true" outlineLevel="0" collapsed="false">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row>
    <row r="40" customFormat="false" ht="15" hidden="false" customHeight="true" outlineLevel="0" collapsed="false">
      <c r="A40" s="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row>
    <row r="41" customFormat="false" ht="15" hidden="false" customHeight="true" outlineLevel="0" collapsed="false">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row>
    <row r="42" customFormat="false" ht="15" hidden="false" customHeight="true" outlineLevel="0" collapsed="false">
      <c r="A42" s="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row>
    <row r="43" customFormat="false" ht="15" hidden="false" customHeight="true" outlineLevel="0" collapsed="false">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row>
    <row r="44" customFormat="false" ht="15" hidden="false" customHeight="true" outlineLevel="0" collapsed="false">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row>
    <row r="45" customFormat="false" ht="15" hidden="false" customHeight="true" outlineLevel="0" collapsed="false">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row>
    <row r="46" customFormat="false" ht="15" hidden="false" customHeight="true" outlineLevel="0" collapsed="false">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row>
    <row r="47" customFormat="false" ht="1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row>
    <row r="48" customFormat="false" ht="15" hidden="false" customHeight="true" outlineLevel="0" collapsed="false">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row>
    <row r="49" customFormat="false" ht="15" hidden="false" customHeight="true" outlineLevel="0" collapsed="false">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row>
    <row r="50" customFormat="false" ht="15" hidden="false" customHeight="true" outlineLevel="0" collapsed="false">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row>
    <row r="51" customFormat="false" ht="15" hidden="false" customHeight="true" outlineLevel="0" collapsed="false">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row>
    <row r="52" customFormat="false" ht="15" hidden="false" customHeight="true" outlineLevel="0" collapsed="false">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row>
    <row r="53" customFormat="false" ht="15" hidden="false" customHeight="true" outlineLevel="0" collapsed="false">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row>
    <row r="54" customFormat="false" ht="15" hidden="false" customHeight="true" outlineLevel="0" collapsed="false">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row>
    <row r="55" customFormat="false" ht="15" hidden="false" customHeight="true" outlineLevel="0" collapsed="false">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row>
    <row r="56" customFormat="false" ht="15" hidden="false" customHeight="true" outlineLevel="0" collapsed="false">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row>
    <row r="57" customFormat="false" ht="15" hidden="false" customHeight="tru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row>
    <row r="58" customFormat="false" ht="15" hidden="false" customHeight="true" outlineLevel="0" collapsed="false">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row>
    <row r="59" customFormat="false" ht="15" hidden="false" customHeight="true" outlineLevel="0" collapsed="false">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row>
    <row r="60" customFormat="false" ht="15" hidden="false" customHeight="true" outlineLevel="0" collapsed="false">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row>
    <row r="61" customFormat="false" ht="15" hidden="false" customHeight="true" outlineLevel="0" collapsed="false">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row>
    <row r="62" customFormat="false" ht="15" hidden="false" customHeight="true" outlineLevel="0" collapsed="false">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row>
    <row r="63" customFormat="false" ht="15" hidden="false" customHeight="true" outlineLevel="0" collapsed="false">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row>
    <row r="64" customFormat="false" ht="15" hidden="false" customHeight="true" outlineLevel="0" collapsed="false">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row>
    <row r="65" customFormat="false" ht="15" hidden="false" customHeight="true" outlineLevel="0" collapsed="false">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row>
    <row r="66" customFormat="false" ht="15" hidden="false" customHeight="true" outlineLevel="0" collapsed="false">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row>
    <row r="67" customFormat="false" ht="15" hidden="false" customHeight="true" outlineLevel="0" collapsed="false">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row>
    <row r="68" customFormat="false" ht="15" hidden="false" customHeight="true" outlineLevel="0" collapsed="false">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row>
    <row r="69" customFormat="false" ht="15" hidden="false" customHeight="true" outlineLevel="0" collapsed="false">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row>
    <row r="70" customFormat="false" ht="15" hidden="false" customHeight="true" outlineLevel="0" collapsed="false">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row>
    <row r="71" customFormat="false" ht="15" hidden="false" customHeight="true" outlineLevel="0" collapsed="false">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row>
    <row r="72" customFormat="false" ht="15" hidden="false" customHeight="true" outlineLevel="0" collapsed="false">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row>
    <row r="73" customFormat="false" ht="15" hidden="false" customHeight="true" outlineLevel="0" collapsed="false">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row>
    <row r="74" customFormat="false" ht="15" hidden="false" customHeight="true" outlineLevel="0" collapsed="false">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row>
    <row r="75" customFormat="false" ht="15" hidden="false" customHeight="true" outlineLevel="0" collapsed="false">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row>
    <row r="76" customFormat="false" ht="15" hidden="false" customHeight="true" outlineLevel="0" collapsed="false">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row>
    <row r="77" customFormat="false" ht="15" hidden="false" customHeight="true" outlineLevel="0" collapsed="false">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row>
    <row r="78" customFormat="false" ht="15" hidden="false" customHeight="true" outlineLevel="0" collapsed="false">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row>
    <row r="79" customFormat="false" ht="15" hidden="false" customHeight="true" outlineLevel="0" collapsed="false">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row>
    <row r="80" customFormat="false" ht="15" hidden="false" customHeight="true" outlineLevel="0" collapsed="false">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row>
    <row r="81" customFormat="false" ht="15" hidden="false" customHeight="true" outlineLevel="0" collapsed="false">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row>
    <row r="82" customFormat="false" ht="15" hidden="false" customHeight="true" outlineLevel="0" collapsed="false">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row>
    <row r="83" customFormat="false" ht="15" hidden="false" customHeight="true" outlineLevel="0" collapsed="false">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row>
    <row r="84" customFormat="false" ht="15" hidden="false" customHeight="true" outlineLevel="0" collapsed="false">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row>
    <row r="85" customFormat="false" ht="15" hidden="false" customHeight="true" outlineLevel="0" collapsed="false">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row>
    <row r="86" customFormat="false" ht="15" hidden="false" customHeight="true" outlineLevel="0" collapsed="false">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row>
    <row r="87" customFormat="false" ht="15" hidden="false" customHeight="true" outlineLevel="0" collapsed="false">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row>
    <row r="88" customFormat="false" ht="15" hidden="false" customHeight="true" outlineLevel="0" collapsed="false">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row>
    <row r="89" customFormat="false" ht="15" hidden="false" customHeight="true" outlineLevel="0" collapsed="false">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row>
    <row r="90" customFormat="false" ht="15" hidden="false" customHeight="true" outlineLevel="0" collapsed="false">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row>
    <row r="91" customFormat="false" ht="15" hidden="false" customHeight="true" outlineLevel="0" collapsed="false">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row>
    <row r="92" customFormat="false" ht="15" hidden="false" customHeight="true" outlineLevel="0" collapsed="false">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row>
    <row r="93" customFormat="false" ht="15" hidden="false" customHeight="true" outlineLevel="0" collapsed="false">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row>
    <row r="94" customFormat="false" ht="15" hidden="false" customHeight="true" outlineLevel="0" collapsed="false">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row>
    <row r="95" customFormat="false" ht="15" hidden="false" customHeight="true" outlineLevel="0" collapsed="false">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row>
    <row r="96" customFormat="false" ht="15" hidden="false" customHeight="true" outlineLevel="0" collapsed="false">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row>
    <row r="97" customFormat="false" ht="15" hidden="false" customHeight="true" outlineLevel="0" collapsed="false">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row>
    <row r="98" customFormat="false" ht="15" hidden="false" customHeight="true" outlineLevel="0" collapsed="false">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row>
    <row r="99" customFormat="false" ht="15" hidden="false" customHeight="true" outlineLevel="0" collapsed="false">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row>
    <row r="100" customFormat="false" ht="15" hidden="false" customHeight="true" outlineLevel="0" collapsed="false">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row>
  </sheetData>
  <mergeCells count="3">
    <mergeCell ref="A1:H1"/>
    <mergeCell ref="A3:H3"/>
    <mergeCell ref="A17:H17"/>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I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8" min="1" style="1" width="22"/>
  </cols>
  <sheetData>
    <row r="1" customFormat="false" ht="30" hidden="false" customHeight="true" outlineLevel="0" collapsed="false">
      <c r="A1" s="2" t="s">
        <v>125</v>
      </c>
      <c r="B1" s="2"/>
      <c r="C1" s="2"/>
      <c r="D1" s="2"/>
      <c r="E1" s="2"/>
      <c r="F1" s="2"/>
      <c r="G1" s="2"/>
      <c r="H1" s="2"/>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row>
    <row r="2" customFormat="false" ht="15" hidden="false" customHeight="true" outlineLevel="0" collapsed="false">
      <c r="A2" s="3"/>
      <c r="B2" s="3"/>
      <c r="C2" s="3"/>
      <c r="D2" s="3"/>
      <c r="E2" s="3"/>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row>
    <row r="3" customFormat="false" ht="15" hidden="false" customHeight="true" outlineLevel="0" collapsed="false">
      <c r="A3" s="9" t="s">
        <v>104</v>
      </c>
      <c r="B3" s="9" t="s">
        <v>126</v>
      </c>
      <c r="C3" s="9" t="s">
        <v>25</v>
      </c>
      <c r="D3" s="9" t="s">
        <v>62</v>
      </c>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row>
    <row r="4" customFormat="false" ht="15" hidden="false" customHeight="true" outlineLevel="0" collapsed="false">
      <c r="A4" s="3" t="s">
        <v>127</v>
      </c>
      <c r="B4" s="5" t="n">
        <v>0</v>
      </c>
      <c r="C4" s="5"/>
      <c r="D4" s="5"/>
      <c r="E4" s="3"/>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row>
    <row r="5" customFormat="false" ht="15" hidden="false" customHeight="true" outlineLevel="0" collapsed="false">
      <c r="A5" s="3" t="s">
        <v>128</v>
      </c>
      <c r="B5" s="5" t="n">
        <v>0</v>
      </c>
      <c r="C5" s="5"/>
      <c r="D5" s="5"/>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row>
    <row r="6" customFormat="false" ht="15" hidden="false" customHeight="true" outlineLevel="0" collapsed="false">
      <c r="A6" s="3" t="s">
        <v>129</v>
      </c>
      <c r="B6" s="5" t="n">
        <v>0</v>
      </c>
      <c r="C6" s="5"/>
      <c r="D6" s="5"/>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row>
    <row r="7" customFormat="false" ht="15" hidden="false" customHeight="true" outlineLevel="0" collapsed="false">
      <c r="A7" s="3" t="s">
        <v>109</v>
      </c>
      <c r="B7" s="5" t="n">
        <v>0</v>
      </c>
      <c r="C7" s="5"/>
      <c r="D7" s="5"/>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row>
    <row r="8" customFormat="false" ht="15" hidden="false" customHeight="true" outlineLevel="0" collapsed="false">
      <c r="A8" s="3" t="s">
        <v>130</v>
      </c>
      <c r="B8" s="5" t="n">
        <v>0</v>
      </c>
      <c r="C8" s="5"/>
      <c r="D8" s="5"/>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row>
    <row r="9" customFormat="false" ht="15" hidden="false" customHeight="true" outlineLevel="0" collapsed="false">
      <c r="A9" s="3" t="s">
        <v>131</v>
      </c>
      <c r="B9" s="5" t="n">
        <v>0</v>
      </c>
      <c r="C9" s="5"/>
      <c r="D9" s="5"/>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row>
    <row r="10" customFormat="false" ht="15" hidden="false" customHeight="true" outlineLevel="0" collapsed="false">
      <c r="A10" s="3" t="s">
        <v>132</v>
      </c>
      <c r="B10" s="5" t="n">
        <v>0</v>
      </c>
      <c r="C10" s="5"/>
      <c r="D10" s="5"/>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row>
    <row r="11" customFormat="false" ht="15" hidden="false" customHeight="true" outlineLevel="0" collapsed="false">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row>
    <row r="12" customFormat="false" ht="27.75" hidden="false" customHeight="true" outlineLevel="0" collapsed="false">
      <c r="A12" s="3" t="s">
        <v>133</v>
      </c>
      <c r="B12" s="16" t="n">
        <f aca="false">SUM(B4:B10)</f>
        <v>0</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row>
    <row r="13" customFormat="false" ht="15" hidden="false" customHeight="true" outlineLevel="0" collapsed="false">
      <c r="A13" s="3" t="s">
        <v>134</v>
      </c>
      <c r="B13" s="16" t="n">
        <f aca="false">B12*12</f>
        <v>0</v>
      </c>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row>
    <row r="14" customFormat="false" ht="27.75" hidden="false" customHeight="true" outlineLevel="0" collapsed="false">
      <c r="A14" s="3" t="s">
        <v>135</v>
      </c>
      <c r="B14" s="16" t="n">
        <f aca="false">IF('Property Info'!B12&gt;0,B12/'Property Info'!B12,0)</f>
        <v>0</v>
      </c>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row>
    <row r="15" customFormat="false" ht="15" hidden="false" customHeight="true" outlineLevel="0" collapsed="false">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row>
    <row r="16" customFormat="false" ht="15" hidden="false" customHeight="true" outlineLevel="0" collapsed="false">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row>
    <row r="17" customFormat="false" ht="15" hidden="false" customHeight="true" outlineLevel="0" collapsed="false">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row>
    <row r="18" customFormat="false" ht="15" hidden="false" customHeight="true" outlineLevel="0" collapsed="false">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row>
    <row r="19" customFormat="false" ht="15" hidden="false" customHeight="true" outlineLevel="0" collapsed="false">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row>
    <row r="20" customFormat="false" ht="15" hidden="false" customHeight="true" outlineLevel="0" collapsed="false">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row>
    <row r="21" customFormat="false" ht="15" hidden="false" customHeight="true" outlineLevel="0" collapsed="false">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row>
    <row r="22" customFormat="false" ht="15" hidden="false" customHeight="true" outlineLevel="0" collapsed="false">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row>
    <row r="23" customFormat="false" ht="15" hidden="false" customHeight="true" outlineLevel="0" collapsed="false">
      <c r="A23" s="3"/>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row>
    <row r="24" customFormat="false" ht="15" hidden="false" customHeight="true" outlineLevel="0" collapsed="false">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row>
    <row r="25" customFormat="false" ht="15" hidden="false" customHeight="true" outlineLevel="0" collapsed="false">
      <c r="A25" s="3"/>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row>
    <row r="26" customFormat="false" ht="15" hidden="false" customHeight="true" outlineLevel="0" collapsed="false">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row>
    <row r="27" customFormat="false" ht="15" hidden="false" customHeight="true" outlineLevel="0" collapsed="false">
      <c r="A27" s="3"/>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row>
    <row r="28" customFormat="false" ht="15" hidden="false" customHeight="true" outlineLevel="0" collapsed="false">
      <c r="A28" s="3"/>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row>
    <row r="29" customFormat="false" ht="15" hidden="false" customHeight="true" outlineLevel="0" collapsed="false">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row>
    <row r="30" customFormat="false" ht="15" hidden="false" customHeight="true" outlineLevel="0" collapsed="false">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row>
    <row r="31" customFormat="false" ht="15" hidden="false" customHeight="true" outlineLevel="0" collapsed="false">
      <c r="A31" s="3"/>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row>
    <row r="32" customFormat="false" ht="15" hidden="false" customHeight="true" outlineLevel="0" collapsed="false">
      <c r="A32" s="3"/>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row>
    <row r="33" customFormat="false" ht="15" hidden="false" customHeight="true" outlineLevel="0" collapsed="false">
      <c r="A33" s="3"/>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row>
    <row r="34" customFormat="false" ht="15" hidden="false" customHeight="true" outlineLevel="0" collapsed="false">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row>
    <row r="35" customFormat="false" ht="15" hidden="false" customHeight="true" outlineLevel="0" collapsed="false">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row>
    <row r="36" customFormat="false" ht="15" hidden="false" customHeight="true" outlineLevel="0" collapsed="false">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row>
    <row r="37" customFormat="false" ht="15" hidden="false" customHeight="true" outlineLevel="0" collapsed="false">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row>
    <row r="38" customFormat="false" ht="15" hidden="false" customHeight="true" outlineLevel="0" collapsed="false">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row>
    <row r="39" customFormat="false" ht="15" hidden="false" customHeight="true" outlineLevel="0" collapsed="false">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row>
    <row r="40" customFormat="false" ht="15" hidden="false" customHeight="true" outlineLevel="0" collapsed="false">
      <c r="A40" s="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row>
    <row r="41" customFormat="false" ht="15" hidden="false" customHeight="true" outlineLevel="0" collapsed="false">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row>
    <row r="42" customFormat="false" ht="15" hidden="false" customHeight="true" outlineLevel="0" collapsed="false">
      <c r="A42" s="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row>
    <row r="43" customFormat="false" ht="15" hidden="false" customHeight="true" outlineLevel="0" collapsed="false">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row>
    <row r="44" customFormat="false" ht="15" hidden="false" customHeight="true" outlineLevel="0" collapsed="false">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row>
    <row r="45" customFormat="false" ht="15" hidden="false" customHeight="true" outlineLevel="0" collapsed="false">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row>
    <row r="46" customFormat="false" ht="15" hidden="false" customHeight="true" outlineLevel="0" collapsed="false">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row>
    <row r="47" customFormat="false" ht="1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row>
    <row r="48" customFormat="false" ht="15" hidden="false" customHeight="true" outlineLevel="0" collapsed="false">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row>
    <row r="49" customFormat="false" ht="15" hidden="false" customHeight="true" outlineLevel="0" collapsed="false">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row>
    <row r="50" customFormat="false" ht="15" hidden="false" customHeight="true" outlineLevel="0" collapsed="false">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row>
    <row r="51" customFormat="false" ht="15" hidden="false" customHeight="true" outlineLevel="0" collapsed="false">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row>
    <row r="52" customFormat="false" ht="15" hidden="false" customHeight="true" outlineLevel="0" collapsed="false">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row>
    <row r="53" customFormat="false" ht="15" hidden="false" customHeight="true" outlineLevel="0" collapsed="false">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row>
    <row r="54" customFormat="false" ht="15" hidden="false" customHeight="true" outlineLevel="0" collapsed="false">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row>
    <row r="55" customFormat="false" ht="15" hidden="false" customHeight="true" outlineLevel="0" collapsed="false">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row>
    <row r="56" customFormat="false" ht="15" hidden="false" customHeight="true" outlineLevel="0" collapsed="false">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row>
    <row r="57" customFormat="false" ht="15" hidden="false" customHeight="tru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row>
    <row r="58" customFormat="false" ht="15" hidden="false" customHeight="true" outlineLevel="0" collapsed="false">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row>
    <row r="59" customFormat="false" ht="15" hidden="false" customHeight="true" outlineLevel="0" collapsed="false">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row>
    <row r="60" customFormat="false" ht="15" hidden="false" customHeight="true" outlineLevel="0" collapsed="false">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row>
    <row r="61" customFormat="false" ht="15" hidden="false" customHeight="true" outlineLevel="0" collapsed="false">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row>
    <row r="62" customFormat="false" ht="15" hidden="false" customHeight="true" outlineLevel="0" collapsed="false">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row>
    <row r="63" customFormat="false" ht="15" hidden="false" customHeight="true" outlineLevel="0" collapsed="false">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row>
    <row r="64" customFormat="false" ht="15" hidden="false" customHeight="true" outlineLevel="0" collapsed="false">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row>
    <row r="65" customFormat="false" ht="15" hidden="false" customHeight="true" outlineLevel="0" collapsed="false">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row>
    <row r="66" customFormat="false" ht="15" hidden="false" customHeight="true" outlineLevel="0" collapsed="false">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row>
    <row r="67" customFormat="false" ht="15" hidden="false" customHeight="true" outlineLevel="0" collapsed="false">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row>
    <row r="68" customFormat="false" ht="15" hidden="false" customHeight="true" outlineLevel="0" collapsed="false">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row>
    <row r="69" customFormat="false" ht="15" hidden="false" customHeight="true" outlineLevel="0" collapsed="false">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row>
    <row r="70" customFormat="false" ht="15" hidden="false" customHeight="true" outlineLevel="0" collapsed="false">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row>
    <row r="71" customFormat="false" ht="15" hidden="false" customHeight="true" outlineLevel="0" collapsed="false">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row>
    <row r="72" customFormat="false" ht="15" hidden="false" customHeight="true" outlineLevel="0" collapsed="false">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row>
    <row r="73" customFormat="false" ht="15" hidden="false" customHeight="true" outlineLevel="0" collapsed="false">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row>
    <row r="74" customFormat="false" ht="15" hidden="false" customHeight="true" outlineLevel="0" collapsed="false">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row>
    <row r="75" customFormat="false" ht="15" hidden="false" customHeight="true" outlineLevel="0" collapsed="false">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row>
    <row r="76" customFormat="false" ht="15" hidden="false" customHeight="true" outlineLevel="0" collapsed="false">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row>
    <row r="77" customFormat="false" ht="15" hidden="false" customHeight="true" outlineLevel="0" collapsed="false">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row>
    <row r="78" customFormat="false" ht="15" hidden="false" customHeight="true" outlineLevel="0" collapsed="false">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row>
    <row r="79" customFormat="false" ht="15" hidden="false" customHeight="true" outlineLevel="0" collapsed="false">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row>
    <row r="80" customFormat="false" ht="15" hidden="false" customHeight="true" outlineLevel="0" collapsed="false">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row>
    <row r="81" customFormat="false" ht="15" hidden="false" customHeight="true" outlineLevel="0" collapsed="false">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row>
    <row r="82" customFormat="false" ht="15" hidden="false" customHeight="true" outlineLevel="0" collapsed="false">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row>
    <row r="83" customFormat="false" ht="15" hidden="false" customHeight="true" outlineLevel="0" collapsed="false">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row>
    <row r="84" customFormat="false" ht="15" hidden="false" customHeight="true" outlineLevel="0" collapsed="false">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row>
    <row r="85" customFormat="false" ht="15" hidden="false" customHeight="true" outlineLevel="0" collapsed="false">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row>
    <row r="86" customFormat="false" ht="15" hidden="false" customHeight="true" outlineLevel="0" collapsed="false">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row>
    <row r="87" customFormat="false" ht="15" hidden="false" customHeight="true" outlineLevel="0" collapsed="false">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row>
    <row r="88" customFormat="false" ht="15" hidden="false" customHeight="true" outlineLevel="0" collapsed="false">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row>
    <row r="89" customFormat="false" ht="15" hidden="false" customHeight="true" outlineLevel="0" collapsed="false">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row>
    <row r="90" customFormat="false" ht="15" hidden="false" customHeight="true" outlineLevel="0" collapsed="false">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row>
    <row r="91" customFormat="false" ht="15" hidden="false" customHeight="true" outlineLevel="0" collapsed="false">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row>
    <row r="92" customFormat="false" ht="15" hidden="false" customHeight="true" outlineLevel="0" collapsed="false">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row>
    <row r="93" customFormat="false" ht="15" hidden="false" customHeight="true" outlineLevel="0" collapsed="false">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row>
    <row r="94" customFormat="false" ht="15" hidden="false" customHeight="true" outlineLevel="0" collapsed="false">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row>
    <row r="95" customFormat="false" ht="15" hidden="false" customHeight="true" outlineLevel="0" collapsed="false">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row>
    <row r="96" customFormat="false" ht="15" hidden="false" customHeight="true" outlineLevel="0" collapsed="false">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row>
    <row r="97" customFormat="false" ht="15" hidden="false" customHeight="true" outlineLevel="0" collapsed="false">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row>
    <row r="98" customFormat="false" ht="15" hidden="false" customHeight="true" outlineLevel="0" collapsed="false">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row>
    <row r="99" customFormat="false" ht="15" hidden="false" customHeight="true" outlineLevel="0" collapsed="false">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row>
    <row r="100" customFormat="false" ht="15" hidden="false" customHeight="true" outlineLevel="0" collapsed="false">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row>
  </sheetData>
  <mergeCells count="1">
    <mergeCell ref="A1:H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I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8" min="1" style="1" width="22"/>
  </cols>
  <sheetData>
    <row r="1" customFormat="false" ht="30" hidden="false" customHeight="true" outlineLevel="0" collapsed="false">
      <c r="A1" s="2" t="s">
        <v>136</v>
      </c>
      <c r="B1" s="2"/>
      <c r="C1" s="2"/>
      <c r="D1" s="2"/>
      <c r="E1" s="2"/>
      <c r="F1" s="2"/>
      <c r="G1" s="2"/>
      <c r="H1" s="2"/>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row>
    <row r="2" customFormat="false" ht="15" hidden="false" customHeight="true" outlineLevel="0" collapsed="false">
      <c r="A2" s="3"/>
      <c r="B2" s="3"/>
      <c r="C2" s="3"/>
      <c r="D2" s="3"/>
      <c r="E2" s="3"/>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row>
    <row r="3" customFormat="false" ht="15" hidden="false" customHeight="true" outlineLevel="0" collapsed="false">
      <c r="A3" s="9" t="s">
        <v>137</v>
      </c>
      <c r="B3" s="9" t="s">
        <v>138</v>
      </c>
      <c r="C3" s="9" t="s">
        <v>139</v>
      </c>
      <c r="D3" s="9" t="s">
        <v>140</v>
      </c>
      <c r="E3" s="9" t="s">
        <v>25</v>
      </c>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row>
    <row r="4" customFormat="false" ht="41.25" hidden="false" customHeight="true" outlineLevel="0" collapsed="false">
      <c r="A4" s="3" t="s">
        <v>141</v>
      </c>
      <c r="B4" s="5" t="s">
        <v>142</v>
      </c>
      <c r="C4" s="14" t="n">
        <v>0</v>
      </c>
      <c r="D4" s="5"/>
      <c r="E4" s="3" t="s">
        <v>143</v>
      </c>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row>
    <row r="5" customFormat="false" ht="15" hidden="false" customHeight="true" outlineLevel="0" collapsed="false">
      <c r="A5" s="3" t="s">
        <v>144</v>
      </c>
      <c r="B5" s="5" t="s">
        <v>145</v>
      </c>
      <c r="C5" s="14" t="n">
        <v>0</v>
      </c>
      <c r="D5" s="5"/>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row>
    <row r="6" customFormat="false" ht="15" hidden="false" customHeight="true" outlineLevel="0" collapsed="false">
      <c r="A6" s="3" t="s">
        <v>146</v>
      </c>
      <c r="B6" s="5" t="s">
        <v>145</v>
      </c>
      <c r="C6" s="14" t="n">
        <v>0</v>
      </c>
      <c r="D6" s="5"/>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row>
    <row r="7" customFormat="false" ht="15" hidden="false" customHeight="true" outlineLevel="0" collapsed="false">
      <c r="A7" s="3" t="s">
        <v>147</v>
      </c>
      <c r="B7" s="5" t="s">
        <v>145</v>
      </c>
      <c r="C7" s="14" t="n">
        <v>0</v>
      </c>
      <c r="D7" s="5"/>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row>
    <row r="8" customFormat="false" ht="27.75" hidden="false" customHeight="true" outlineLevel="0" collapsed="false">
      <c r="A8" s="3" t="s">
        <v>148</v>
      </c>
      <c r="B8" s="5" t="s">
        <v>145</v>
      </c>
      <c r="C8" s="14" t="n">
        <v>0</v>
      </c>
      <c r="D8" s="5"/>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row>
    <row r="9" customFormat="false" ht="27.75" hidden="false" customHeight="true" outlineLevel="0" collapsed="false">
      <c r="A9" s="3" t="s">
        <v>149</v>
      </c>
      <c r="B9" s="5" t="s">
        <v>145</v>
      </c>
      <c r="C9" s="14" t="n">
        <v>0</v>
      </c>
      <c r="D9" s="5"/>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row>
    <row r="10" customFormat="false" ht="27.75" hidden="false" customHeight="true" outlineLevel="0" collapsed="false">
      <c r="A10" s="3" t="s">
        <v>150</v>
      </c>
      <c r="B10" s="5" t="s">
        <v>145</v>
      </c>
      <c r="C10" s="14" t="n">
        <v>0</v>
      </c>
      <c r="D10" s="5"/>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row>
    <row r="11" customFormat="false" ht="15" hidden="false" customHeight="true" outlineLevel="0" collapsed="false">
      <c r="A11" s="3" t="s">
        <v>151</v>
      </c>
      <c r="B11" s="5" t="s">
        <v>145</v>
      </c>
      <c r="C11" s="14" t="n">
        <v>0</v>
      </c>
      <c r="D11" s="5"/>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row>
    <row r="12" customFormat="false" ht="15" hidden="false" customHeight="true" outlineLevel="0" collapsed="false">
      <c r="A12" s="3" t="s">
        <v>152</v>
      </c>
      <c r="B12" s="5" t="s">
        <v>60</v>
      </c>
      <c r="C12" s="14" t="n">
        <v>0</v>
      </c>
      <c r="D12" s="5"/>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row>
    <row r="13" customFormat="false" ht="15" hidden="false" customHeight="true" outlineLevel="0" collapsed="false">
      <c r="A13" s="3" t="s">
        <v>153</v>
      </c>
      <c r="B13" s="3"/>
      <c r="C13" s="17" t="n">
        <f aca="false">SUM(C4:C12)</f>
        <v>0</v>
      </c>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row>
    <row r="14" customFormat="false" ht="15" hidden="false" customHeight="true" outlineLevel="0" collapsed="false">
      <c r="A14" s="3"/>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row>
    <row r="15" customFormat="false" ht="15" hidden="false" customHeight="true" outlineLevel="0" collapsed="false">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row>
    <row r="16" customFormat="false" ht="15" hidden="false" customHeight="true" outlineLevel="0" collapsed="false">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row>
    <row r="17" customFormat="false" ht="15" hidden="false" customHeight="true" outlineLevel="0" collapsed="false">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row>
    <row r="18" customFormat="false" ht="15" hidden="false" customHeight="true" outlineLevel="0" collapsed="false">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row>
    <row r="19" customFormat="false" ht="15" hidden="false" customHeight="true" outlineLevel="0" collapsed="false">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row>
    <row r="20" customFormat="false" ht="15" hidden="false" customHeight="true" outlineLevel="0" collapsed="false">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row>
    <row r="21" customFormat="false" ht="15" hidden="false" customHeight="true" outlineLevel="0" collapsed="false">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row>
    <row r="22" customFormat="false" ht="15" hidden="false" customHeight="true" outlineLevel="0" collapsed="false">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row>
    <row r="23" customFormat="false" ht="15" hidden="false" customHeight="true" outlineLevel="0" collapsed="false">
      <c r="A23" s="3"/>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row>
    <row r="24" customFormat="false" ht="15" hidden="false" customHeight="true" outlineLevel="0" collapsed="false">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row>
    <row r="25" customFormat="false" ht="15" hidden="false" customHeight="true" outlineLevel="0" collapsed="false">
      <c r="A25" s="3"/>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row>
    <row r="26" customFormat="false" ht="15" hidden="false" customHeight="true" outlineLevel="0" collapsed="false">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row>
    <row r="27" customFormat="false" ht="15" hidden="false" customHeight="true" outlineLevel="0" collapsed="false">
      <c r="A27" s="3"/>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row>
    <row r="28" customFormat="false" ht="15" hidden="false" customHeight="true" outlineLevel="0" collapsed="false">
      <c r="A28" s="3"/>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row>
    <row r="29" customFormat="false" ht="15" hidden="false" customHeight="true" outlineLevel="0" collapsed="false">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row>
    <row r="30" customFormat="false" ht="15" hidden="false" customHeight="true" outlineLevel="0" collapsed="false">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row>
    <row r="31" customFormat="false" ht="15" hidden="false" customHeight="true" outlineLevel="0" collapsed="false">
      <c r="A31" s="3"/>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row>
    <row r="32" customFormat="false" ht="15" hidden="false" customHeight="true" outlineLevel="0" collapsed="false">
      <c r="A32" s="3"/>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row>
    <row r="33" customFormat="false" ht="15" hidden="false" customHeight="true" outlineLevel="0" collapsed="false">
      <c r="A33" s="3"/>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row>
    <row r="34" customFormat="false" ht="15" hidden="false" customHeight="true" outlineLevel="0" collapsed="false">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row>
    <row r="35" customFormat="false" ht="15" hidden="false" customHeight="true" outlineLevel="0" collapsed="false">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row>
    <row r="36" customFormat="false" ht="15" hidden="false" customHeight="true" outlineLevel="0" collapsed="false">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row>
    <row r="37" customFormat="false" ht="15" hidden="false" customHeight="true" outlineLevel="0" collapsed="false">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row>
    <row r="38" customFormat="false" ht="15" hidden="false" customHeight="true" outlineLevel="0" collapsed="false">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row>
    <row r="39" customFormat="false" ht="15" hidden="false" customHeight="true" outlineLevel="0" collapsed="false">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row>
    <row r="40" customFormat="false" ht="15" hidden="false" customHeight="true" outlineLevel="0" collapsed="false">
      <c r="A40" s="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row>
    <row r="41" customFormat="false" ht="15" hidden="false" customHeight="true" outlineLevel="0" collapsed="false">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row>
    <row r="42" customFormat="false" ht="15" hidden="false" customHeight="true" outlineLevel="0" collapsed="false">
      <c r="A42" s="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row>
    <row r="43" customFormat="false" ht="15" hidden="false" customHeight="true" outlineLevel="0" collapsed="false">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row>
    <row r="44" customFormat="false" ht="15" hidden="false" customHeight="true" outlineLevel="0" collapsed="false">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row>
    <row r="45" customFormat="false" ht="15" hidden="false" customHeight="true" outlineLevel="0" collapsed="false">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row>
    <row r="46" customFormat="false" ht="15" hidden="false" customHeight="true" outlineLevel="0" collapsed="false">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row>
    <row r="47" customFormat="false" ht="1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row>
    <row r="48" customFormat="false" ht="15" hidden="false" customHeight="true" outlineLevel="0" collapsed="false">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row>
    <row r="49" customFormat="false" ht="15" hidden="false" customHeight="true" outlineLevel="0" collapsed="false">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row>
    <row r="50" customFormat="false" ht="15" hidden="false" customHeight="true" outlineLevel="0" collapsed="false">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row>
    <row r="51" customFormat="false" ht="15" hidden="false" customHeight="true" outlineLevel="0" collapsed="false">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row>
    <row r="52" customFormat="false" ht="15" hidden="false" customHeight="true" outlineLevel="0" collapsed="false">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row>
    <row r="53" customFormat="false" ht="15" hidden="false" customHeight="true" outlineLevel="0" collapsed="false">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row>
    <row r="54" customFormat="false" ht="15" hidden="false" customHeight="true" outlineLevel="0" collapsed="false">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row>
    <row r="55" customFormat="false" ht="15" hidden="false" customHeight="true" outlineLevel="0" collapsed="false">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row>
    <row r="56" customFormat="false" ht="15" hidden="false" customHeight="true" outlineLevel="0" collapsed="false">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row>
    <row r="57" customFormat="false" ht="15" hidden="false" customHeight="tru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row>
    <row r="58" customFormat="false" ht="15" hidden="false" customHeight="true" outlineLevel="0" collapsed="false">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row>
    <row r="59" customFormat="false" ht="15" hidden="false" customHeight="true" outlineLevel="0" collapsed="false">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row>
    <row r="60" customFormat="false" ht="15" hidden="false" customHeight="true" outlineLevel="0" collapsed="false">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row>
    <row r="61" customFormat="false" ht="15" hidden="false" customHeight="true" outlineLevel="0" collapsed="false">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row>
    <row r="62" customFormat="false" ht="15" hidden="false" customHeight="true" outlineLevel="0" collapsed="false">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row>
    <row r="63" customFormat="false" ht="15" hidden="false" customHeight="true" outlineLevel="0" collapsed="false">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row>
    <row r="64" customFormat="false" ht="15" hidden="false" customHeight="true" outlineLevel="0" collapsed="false">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row>
    <row r="65" customFormat="false" ht="15" hidden="false" customHeight="true" outlineLevel="0" collapsed="false">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row>
    <row r="66" customFormat="false" ht="15" hidden="false" customHeight="true" outlineLevel="0" collapsed="false">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row>
    <row r="67" customFormat="false" ht="15" hidden="false" customHeight="true" outlineLevel="0" collapsed="false">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row>
    <row r="68" customFormat="false" ht="15" hidden="false" customHeight="true" outlineLevel="0" collapsed="false">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row>
    <row r="69" customFormat="false" ht="15" hidden="false" customHeight="true" outlineLevel="0" collapsed="false">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row>
    <row r="70" customFormat="false" ht="15" hidden="false" customHeight="true" outlineLevel="0" collapsed="false">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row>
    <row r="71" customFormat="false" ht="15" hidden="false" customHeight="true" outlineLevel="0" collapsed="false">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row>
    <row r="72" customFormat="false" ht="15" hidden="false" customHeight="true" outlineLevel="0" collapsed="false">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row>
    <row r="73" customFormat="false" ht="15" hidden="false" customHeight="true" outlineLevel="0" collapsed="false">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row>
    <row r="74" customFormat="false" ht="15" hidden="false" customHeight="true" outlineLevel="0" collapsed="false">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row>
    <row r="75" customFormat="false" ht="15" hidden="false" customHeight="true" outlineLevel="0" collapsed="false">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row>
    <row r="76" customFormat="false" ht="15" hidden="false" customHeight="true" outlineLevel="0" collapsed="false">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row>
    <row r="77" customFormat="false" ht="15" hidden="false" customHeight="true" outlineLevel="0" collapsed="false">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row>
    <row r="78" customFormat="false" ht="15" hidden="false" customHeight="true" outlineLevel="0" collapsed="false">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row>
    <row r="79" customFormat="false" ht="15" hidden="false" customHeight="true" outlineLevel="0" collapsed="false">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row>
    <row r="80" customFormat="false" ht="15" hidden="false" customHeight="true" outlineLevel="0" collapsed="false">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row>
    <row r="81" customFormat="false" ht="15" hidden="false" customHeight="true" outlineLevel="0" collapsed="false">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row>
    <row r="82" customFormat="false" ht="15" hidden="false" customHeight="true" outlineLevel="0" collapsed="false">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row>
    <row r="83" customFormat="false" ht="15" hidden="false" customHeight="true" outlineLevel="0" collapsed="false">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row>
    <row r="84" customFormat="false" ht="15" hidden="false" customHeight="true" outlineLevel="0" collapsed="false">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row>
    <row r="85" customFormat="false" ht="15" hidden="false" customHeight="true" outlineLevel="0" collapsed="false">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row>
    <row r="86" customFormat="false" ht="15" hidden="false" customHeight="true" outlineLevel="0" collapsed="false">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row>
    <row r="87" customFormat="false" ht="15" hidden="false" customHeight="true" outlineLevel="0" collapsed="false">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row>
    <row r="88" customFormat="false" ht="15" hidden="false" customHeight="true" outlineLevel="0" collapsed="false">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row>
    <row r="89" customFormat="false" ht="15" hidden="false" customHeight="true" outlineLevel="0" collapsed="false">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row>
    <row r="90" customFormat="false" ht="15" hidden="false" customHeight="true" outlineLevel="0" collapsed="false">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row>
    <row r="91" customFormat="false" ht="15" hidden="false" customHeight="true" outlineLevel="0" collapsed="false">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row>
    <row r="92" customFormat="false" ht="15" hidden="false" customHeight="true" outlineLevel="0" collapsed="false">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row>
    <row r="93" customFormat="false" ht="15" hidden="false" customHeight="true" outlineLevel="0" collapsed="false">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row>
    <row r="94" customFormat="false" ht="15" hidden="false" customHeight="true" outlineLevel="0" collapsed="false">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row>
    <row r="95" customFormat="false" ht="15" hidden="false" customHeight="true" outlineLevel="0" collapsed="false">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row>
    <row r="96" customFormat="false" ht="15" hidden="false" customHeight="true" outlineLevel="0" collapsed="false">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row>
    <row r="97" customFormat="false" ht="15" hidden="false" customHeight="true" outlineLevel="0" collapsed="false">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row>
    <row r="98" customFormat="false" ht="15" hidden="false" customHeight="true" outlineLevel="0" collapsed="false">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row>
    <row r="99" customFormat="false" ht="15" hidden="false" customHeight="true" outlineLevel="0" collapsed="false">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row>
    <row r="100" customFormat="false" ht="15" hidden="false" customHeight="true" outlineLevel="0" collapsed="false">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row>
  </sheetData>
  <mergeCells count="1">
    <mergeCell ref="A1:H1"/>
  </mergeCells>
  <dataValidations count="1">
    <dataValidation allowBlank="false" errorStyle="stop" operator="between" showDropDown="false" showErrorMessage="false" showInputMessage="false" sqref="B5:B11" type="list">
      <formula1>"Low,Moderate,High,N/A"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I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8" min="1" style="1" width="16"/>
  </cols>
  <sheetData>
    <row r="1" customFormat="false" ht="30" hidden="false" customHeight="true" outlineLevel="0" collapsed="false">
      <c r="A1" s="2" t="s">
        <v>154</v>
      </c>
      <c r="B1" s="2"/>
      <c r="C1" s="2"/>
      <c r="D1" s="2"/>
      <c r="E1" s="2"/>
      <c r="F1" s="2"/>
      <c r="G1" s="2"/>
      <c r="H1" s="2"/>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row>
    <row r="2" customFormat="false" ht="15" hidden="false" customHeight="true" outlineLevel="0" collapsed="false">
      <c r="A2" s="3"/>
      <c r="B2" s="3"/>
      <c r="C2" s="3"/>
      <c r="D2" s="3"/>
      <c r="E2" s="3"/>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row>
    <row r="3" customFormat="false" ht="27.75" hidden="false" customHeight="true" outlineLevel="0" collapsed="false">
      <c r="A3" s="9" t="s">
        <v>155</v>
      </c>
      <c r="B3" s="9" t="s">
        <v>156</v>
      </c>
      <c r="C3" s="9" t="s">
        <v>157</v>
      </c>
      <c r="D3" s="9" t="s">
        <v>158</v>
      </c>
      <c r="E3" s="9" t="s">
        <v>159</v>
      </c>
      <c r="F3" s="9" t="s">
        <v>160</v>
      </c>
      <c r="G3" s="9" t="s">
        <v>161</v>
      </c>
      <c r="H3" s="9" t="s">
        <v>162</v>
      </c>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row>
    <row r="4" customFormat="false" ht="15" hidden="false" customHeight="true" outlineLevel="0" collapsed="false">
      <c r="A4" s="3" t="n">
        <v>1</v>
      </c>
      <c r="B4" s="18" t="n">
        <f aca="false">EOMONTH('Property Info'!$B$7,A4-1)</f>
        <v>46234</v>
      </c>
      <c r="C4" s="19" t="n">
        <f aca="false">'Property Info'!$B$12</f>
        <v>0</v>
      </c>
      <c r="D4" s="19" t="n">
        <f aca="false">MIN('Market Assumptions'!$B$6,C4)</f>
        <v>0</v>
      </c>
      <c r="E4" s="19" t="n">
        <f aca="false">MAX(C4-D4,0)</f>
        <v>0</v>
      </c>
      <c r="F4" s="20" t="n">
        <f aca="false">'Market Assumptions'!$B$4*(1+'Market Assumptions'!$B$5/12)^(A4-1)</f>
        <v>0</v>
      </c>
      <c r="G4" s="20" t="n">
        <f aca="false">D4*F4</f>
        <v>0</v>
      </c>
      <c r="H4" s="5"/>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row>
    <row r="5" customFormat="false" ht="15" hidden="false" customHeight="true" outlineLevel="0" collapsed="false">
      <c r="A5" s="3" t="n">
        <v>2</v>
      </c>
      <c r="B5" s="18" t="n">
        <f aca="false">EOMONTH('Property Info'!$B$7,A5-1)</f>
        <v>46265</v>
      </c>
      <c r="C5" s="19" t="n">
        <f aca="false">E4</f>
        <v>0</v>
      </c>
      <c r="D5" s="19" t="n">
        <f aca="false">MIN('Market Assumptions'!$B$6,C5)</f>
        <v>0</v>
      </c>
      <c r="E5" s="19" t="n">
        <f aca="false">MAX(C5-D5,0)</f>
        <v>0</v>
      </c>
      <c r="F5" s="20" t="n">
        <f aca="false">'Market Assumptions'!$B$4*(1+'Market Assumptions'!$B$5/12)^(A5-1)</f>
        <v>0</v>
      </c>
      <c r="G5" s="20" t="n">
        <f aca="false">D5*F5</f>
        <v>0</v>
      </c>
      <c r="H5" s="5"/>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row>
    <row r="6" customFormat="false" ht="15" hidden="false" customHeight="true" outlineLevel="0" collapsed="false">
      <c r="A6" s="3" t="n">
        <v>3</v>
      </c>
      <c r="B6" s="18" t="n">
        <f aca="false">EOMONTH('Property Info'!$B$7,A6-1)</f>
        <v>46295</v>
      </c>
      <c r="C6" s="19" t="n">
        <f aca="false">E5</f>
        <v>0</v>
      </c>
      <c r="D6" s="19" t="n">
        <f aca="false">MIN('Market Assumptions'!$B$6,C6)</f>
        <v>0</v>
      </c>
      <c r="E6" s="19" t="n">
        <f aca="false">MAX(C6-D6,0)</f>
        <v>0</v>
      </c>
      <c r="F6" s="20" t="n">
        <f aca="false">'Market Assumptions'!$B$4*(1+'Market Assumptions'!$B$5/12)^(A6-1)</f>
        <v>0</v>
      </c>
      <c r="G6" s="20" t="n">
        <f aca="false">D6*F6</f>
        <v>0</v>
      </c>
      <c r="H6" s="5"/>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row>
    <row r="7" customFormat="false" ht="15" hidden="false" customHeight="true" outlineLevel="0" collapsed="false">
      <c r="A7" s="3" t="n">
        <v>4</v>
      </c>
      <c r="B7" s="18" t="n">
        <f aca="false">EOMONTH('Property Info'!$B$7,A7-1)</f>
        <v>46326</v>
      </c>
      <c r="C7" s="19" t="n">
        <f aca="false">E6</f>
        <v>0</v>
      </c>
      <c r="D7" s="19" t="n">
        <f aca="false">MIN('Market Assumptions'!$B$6,C7)</f>
        <v>0</v>
      </c>
      <c r="E7" s="19" t="n">
        <f aca="false">MAX(C7-D7,0)</f>
        <v>0</v>
      </c>
      <c r="F7" s="20" t="n">
        <f aca="false">'Market Assumptions'!$B$4*(1+'Market Assumptions'!$B$5/12)^(A7-1)</f>
        <v>0</v>
      </c>
      <c r="G7" s="20" t="n">
        <f aca="false">D7*F7</f>
        <v>0</v>
      </c>
      <c r="H7" s="5"/>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row>
    <row r="8" customFormat="false" ht="15" hidden="false" customHeight="true" outlineLevel="0" collapsed="false">
      <c r="A8" s="3" t="n">
        <v>5</v>
      </c>
      <c r="B8" s="18" t="n">
        <f aca="false">EOMONTH('Property Info'!$B$7,A8-1)</f>
        <v>46356</v>
      </c>
      <c r="C8" s="19" t="n">
        <f aca="false">E7</f>
        <v>0</v>
      </c>
      <c r="D8" s="19" t="n">
        <f aca="false">MIN('Market Assumptions'!$B$6,C8)</f>
        <v>0</v>
      </c>
      <c r="E8" s="19" t="n">
        <f aca="false">MAX(C8-D8,0)</f>
        <v>0</v>
      </c>
      <c r="F8" s="20" t="n">
        <f aca="false">'Market Assumptions'!$B$4*(1+'Market Assumptions'!$B$5/12)^(A8-1)</f>
        <v>0</v>
      </c>
      <c r="G8" s="20" t="n">
        <f aca="false">D8*F8</f>
        <v>0</v>
      </c>
      <c r="H8" s="5"/>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row>
    <row r="9" customFormat="false" ht="15" hidden="false" customHeight="true" outlineLevel="0" collapsed="false">
      <c r="A9" s="3" t="n">
        <v>6</v>
      </c>
      <c r="B9" s="18" t="n">
        <f aca="false">EOMONTH('Property Info'!$B$7,A9-1)</f>
        <v>46387</v>
      </c>
      <c r="C9" s="19" t="n">
        <f aca="false">E8</f>
        <v>0</v>
      </c>
      <c r="D9" s="19" t="n">
        <f aca="false">MIN('Market Assumptions'!$B$6,C9)</f>
        <v>0</v>
      </c>
      <c r="E9" s="19" t="n">
        <f aca="false">MAX(C9-D9,0)</f>
        <v>0</v>
      </c>
      <c r="F9" s="20" t="n">
        <f aca="false">'Market Assumptions'!$B$4*(1+'Market Assumptions'!$B$5/12)^(A9-1)</f>
        <v>0</v>
      </c>
      <c r="G9" s="20" t="n">
        <f aca="false">D9*F9</f>
        <v>0</v>
      </c>
      <c r="H9" s="5"/>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row>
    <row r="10" customFormat="false" ht="15" hidden="false" customHeight="true" outlineLevel="0" collapsed="false">
      <c r="A10" s="3" t="n">
        <v>7</v>
      </c>
      <c r="B10" s="18" t="n">
        <f aca="false">EOMONTH('Property Info'!$B$7,A10-1)</f>
        <v>46418</v>
      </c>
      <c r="C10" s="19" t="n">
        <f aca="false">E9</f>
        <v>0</v>
      </c>
      <c r="D10" s="19" t="n">
        <f aca="false">MIN('Market Assumptions'!$B$6,C10)</f>
        <v>0</v>
      </c>
      <c r="E10" s="19" t="n">
        <f aca="false">MAX(C10-D10,0)</f>
        <v>0</v>
      </c>
      <c r="F10" s="20" t="n">
        <f aca="false">'Market Assumptions'!$B$4*(1+'Market Assumptions'!$B$5/12)^(A10-1)</f>
        <v>0</v>
      </c>
      <c r="G10" s="20" t="n">
        <f aca="false">D10*F10</f>
        <v>0</v>
      </c>
      <c r="H10" s="5"/>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row>
    <row r="11" customFormat="false" ht="15" hidden="false" customHeight="true" outlineLevel="0" collapsed="false">
      <c r="A11" s="3" t="n">
        <v>8</v>
      </c>
      <c r="B11" s="18" t="n">
        <f aca="false">EOMONTH('Property Info'!$B$7,A11-1)</f>
        <v>46446</v>
      </c>
      <c r="C11" s="19" t="n">
        <f aca="false">E10</f>
        <v>0</v>
      </c>
      <c r="D11" s="19" t="n">
        <f aca="false">MIN('Market Assumptions'!$B$6,C11)</f>
        <v>0</v>
      </c>
      <c r="E11" s="19" t="n">
        <f aca="false">MAX(C11-D11,0)</f>
        <v>0</v>
      </c>
      <c r="F11" s="20" t="n">
        <f aca="false">'Market Assumptions'!$B$4*(1+'Market Assumptions'!$B$5/12)^(A11-1)</f>
        <v>0</v>
      </c>
      <c r="G11" s="20" t="n">
        <f aca="false">D11*F11</f>
        <v>0</v>
      </c>
      <c r="H11" s="5"/>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row>
    <row r="12" customFormat="false" ht="15" hidden="false" customHeight="true" outlineLevel="0" collapsed="false">
      <c r="A12" s="3" t="n">
        <v>9</v>
      </c>
      <c r="B12" s="18" t="n">
        <f aca="false">EOMONTH('Property Info'!$B$7,A12-1)</f>
        <v>46477</v>
      </c>
      <c r="C12" s="19" t="n">
        <f aca="false">E11</f>
        <v>0</v>
      </c>
      <c r="D12" s="19" t="n">
        <f aca="false">MIN('Market Assumptions'!$B$6,C12)</f>
        <v>0</v>
      </c>
      <c r="E12" s="19" t="n">
        <f aca="false">MAX(C12-D12,0)</f>
        <v>0</v>
      </c>
      <c r="F12" s="20" t="n">
        <f aca="false">'Market Assumptions'!$B$4*(1+'Market Assumptions'!$B$5/12)^(A12-1)</f>
        <v>0</v>
      </c>
      <c r="G12" s="20" t="n">
        <f aca="false">D12*F12</f>
        <v>0</v>
      </c>
      <c r="H12" s="5"/>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row>
    <row r="13" customFormat="false" ht="15" hidden="false" customHeight="true" outlineLevel="0" collapsed="false">
      <c r="A13" s="3" t="n">
        <v>10</v>
      </c>
      <c r="B13" s="18" t="n">
        <f aca="false">EOMONTH('Property Info'!$B$7,A13-1)</f>
        <v>46507</v>
      </c>
      <c r="C13" s="19" t="n">
        <f aca="false">E12</f>
        <v>0</v>
      </c>
      <c r="D13" s="19" t="n">
        <f aca="false">MIN('Market Assumptions'!$B$6,C13)</f>
        <v>0</v>
      </c>
      <c r="E13" s="19" t="n">
        <f aca="false">MAX(C13-D13,0)</f>
        <v>0</v>
      </c>
      <c r="F13" s="20" t="n">
        <f aca="false">'Market Assumptions'!$B$4*(1+'Market Assumptions'!$B$5/12)^(A13-1)</f>
        <v>0</v>
      </c>
      <c r="G13" s="20" t="n">
        <f aca="false">D13*F13</f>
        <v>0</v>
      </c>
      <c r="H13" s="5"/>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row>
    <row r="14" customFormat="false" ht="15" hidden="false" customHeight="true" outlineLevel="0" collapsed="false">
      <c r="A14" s="3" t="n">
        <v>11</v>
      </c>
      <c r="B14" s="18" t="n">
        <f aca="false">EOMONTH('Property Info'!$B$7,A14-1)</f>
        <v>46538</v>
      </c>
      <c r="C14" s="19" t="n">
        <f aca="false">E13</f>
        <v>0</v>
      </c>
      <c r="D14" s="19" t="n">
        <f aca="false">MIN('Market Assumptions'!$B$6,C14)</f>
        <v>0</v>
      </c>
      <c r="E14" s="19" t="n">
        <f aca="false">MAX(C14-D14,0)</f>
        <v>0</v>
      </c>
      <c r="F14" s="20" t="n">
        <f aca="false">'Market Assumptions'!$B$4*(1+'Market Assumptions'!$B$5/12)^(A14-1)</f>
        <v>0</v>
      </c>
      <c r="G14" s="20" t="n">
        <f aca="false">D14*F14</f>
        <v>0</v>
      </c>
      <c r="H14" s="5"/>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row>
    <row r="15" customFormat="false" ht="15" hidden="false" customHeight="true" outlineLevel="0" collapsed="false">
      <c r="A15" s="3" t="n">
        <v>12</v>
      </c>
      <c r="B15" s="18" t="n">
        <f aca="false">EOMONTH('Property Info'!$B$7,A15-1)</f>
        <v>46568</v>
      </c>
      <c r="C15" s="19" t="n">
        <f aca="false">E14</f>
        <v>0</v>
      </c>
      <c r="D15" s="19" t="n">
        <f aca="false">MIN('Market Assumptions'!$B$6,C15)</f>
        <v>0</v>
      </c>
      <c r="E15" s="19" t="n">
        <f aca="false">MAX(C15-D15,0)</f>
        <v>0</v>
      </c>
      <c r="F15" s="20" t="n">
        <f aca="false">'Market Assumptions'!$B$4*(1+'Market Assumptions'!$B$5/12)^(A15-1)</f>
        <v>0</v>
      </c>
      <c r="G15" s="20" t="n">
        <f aca="false">D15*F15</f>
        <v>0</v>
      </c>
      <c r="H15" s="5"/>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row>
    <row r="16" customFormat="false" ht="15" hidden="false" customHeight="true" outlineLevel="0" collapsed="false">
      <c r="A16" s="3" t="n">
        <v>13</v>
      </c>
      <c r="B16" s="18" t="n">
        <f aca="false">EOMONTH('Property Info'!$B$7,A16-1)</f>
        <v>46599</v>
      </c>
      <c r="C16" s="19" t="n">
        <f aca="false">E15</f>
        <v>0</v>
      </c>
      <c r="D16" s="19" t="n">
        <f aca="false">MIN('Market Assumptions'!$B$6,C16)</f>
        <v>0</v>
      </c>
      <c r="E16" s="19" t="n">
        <f aca="false">MAX(C16-D16,0)</f>
        <v>0</v>
      </c>
      <c r="F16" s="20" t="n">
        <f aca="false">'Market Assumptions'!$B$4*(1+'Market Assumptions'!$B$5/12)^(A16-1)</f>
        <v>0</v>
      </c>
      <c r="G16" s="20" t="n">
        <f aca="false">D16*F16</f>
        <v>0</v>
      </c>
      <c r="H16" s="5"/>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row>
    <row r="17" customFormat="false" ht="15" hidden="false" customHeight="true" outlineLevel="0" collapsed="false">
      <c r="A17" s="3" t="n">
        <v>14</v>
      </c>
      <c r="B17" s="18" t="n">
        <f aca="false">EOMONTH('Property Info'!$B$7,A17-1)</f>
        <v>46630</v>
      </c>
      <c r="C17" s="19" t="n">
        <f aca="false">E16</f>
        <v>0</v>
      </c>
      <c r="D17" s="19" t="n">
        <f aca="false">MIN('Market Assumptions'!$B$6,C17)</f>
        <v>0</v>
      </c>
      <c r="E17" s="19" t="n">
        <f aca="false">MAX(C17-D17,0)</f>
        <v>0</v>
      </c>
      <c r="F17" s="20" t="n">
        <f aca="false">'Market Assumptions'!$B$4*(1+'Market Assumptions'!$B$5/12)^(A17-1)</f>
        <v>0</v>
      </c>
      <c r="G17" s="20" t="n">
        <f aca="false">D17*F17</f>
        <v>0</v>
      </c>
      <c r="H17" s="5"/>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row>
    <row r="18" customFormat="false" ht="15" hidden="false" customHeight="true" outlineLevel="0" collapsed="false">
      <c r="A18" s="3" t="n">
        <v>15</v>
      </c>
      <c r="B18" s="18" t="n">
        <f aca="false">EOMONTH('Property Info'!$B$7,A18-1)</f>
        <v>46660</v>
      </c>
      <c r="C18" s="19" t="n">
        <f aca="false">E17</f>
        <v>0</v>
      </c>
      <c r="D18" s="19" t="n">
        <f aca="false">MIN('Market Assumptions'!$B$6,C18)</f>
        <v>0</v>
      </c>
      <c r="E18" s="19" t="n">
        <f aca="false">MAX(C18-D18,0)</f>
        <v>0</v>
      </c>
      <c r="F18" s="20" t="n">
        <f aca="false">'Market Assumptions'!$B$4*(1+'Market Assumptions'!$B$5/12)^(A18-1)</f>
        <v>0</v>
      </c>
      <c r="G18" s="20" t="n">
        <f aca="false">D18*F18</f>
        <v>0</v>
      </c>
      <c r="H18" s="5"/>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row>
    <row r="19" customFormat="false" ht="15" hidden="false" customHeight="true" outlineLevel="0" collapsed="false">
      <c r="A19" s="3" t="n">
        <v>16</v>
      </c>
      <c r="B19" s="18" t="n">
        <f aca="false">EOMONTH('Property Info'!$B$7,A19-1)</f>
        <v>46691</v>
      </c>
      <c r="C19" s="19" t="n">
        <f aca="false">E18</f>
        <v>0</v>
      </c>
      <c r="D19" s="19" t="n">
        <f aca="false">MIN('Market Assumptions'!$B$6,C19)</f>
        <v>0</v>
      </c>
      <c r="E19" s="19" t="n">
        <f aca="false">MAX(C19-D19,0)</f>
        <v>0</v>
      </c>
      <c r="F19" s="20" t="n">
        <f aca="false">'Market Assumptions'!$B$4*(1+'Market Assumptions'!$B$5/12)^(A19-1)</f>
        <v>0</v>
      </c>
      <c r="G19" s="20" t="n">
        <f aca="false">D19*F19</f>
        <v>0</v>
      </c>
      <c r="H19" s="5"/>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row>
    <row r="20" customFormat="false" ht="15" hidden="false" customHeight="true" outlineLevel="0" collapsed="false">
      <c r="A20" s="3" t="n">
        <v>17</v>
      </c>
      <c r="B20" s="18" t="n">
        <f aca="false">EOMONTH('Property Info'!$B$7,A20-1)</f>
        <v>46721</v>
      </c>
      <c r="C20" s="19" t="n">
        <f aca="false">E19</f>
        <v>0</v>
      </c>
      <c r="D20" s="19" t="n">
        <f aca="false">MIN('Market Assumptions'!$B$6,C20)</f>
        <v>0</v>
      </c>
      <c r="E20" s="19" t="n">
        <f aca="false">MAX(C20-D20,0)</f>
        <v>0</v>
      </c>
      <c r="F20" s="20" t="n">
        <f aca="false">'Market Assumptions'!$B$4*(1+'Market Assumptions'!$B$5/12)^(A20-1)</f>
        <v>0</v>
      </c>
      <c r="G20" s="20" t="n">
        <f aca="false">D20*F20</f>
        <v>0</v>
      </c>
      <c r="H20" s="5"/>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row>
    <row r="21" customFormat="false" ht="15" hidden="false" customHeight="true" outlineLevel="0" collapsed="false">
      <c r="A21" s="3" t="n">
        <v>18</v>
      </c>
      <c r="B21" s="18" t="n">
        <f aca="false">EOMONTH('Property Info'!$B$7,A21-1)</f>
        <v>46752</v>
      </c>
      <c r="C21" s="19" t="n">
        <f aca="false">E20</f>
        <v>0</v>
      </c>
      <c r="D21" s="19" t="n">
        <f aca="false">MIN('Market Assumptions'!$B$6,C21)</f>
        <v>0</v>
      </c>
      <c r="E21" s="19" t="n">
        <f aca="false">MAX(C21-D21,0)</f>
        <v>0</v>
      </c>
      <c r="F21" s="20" t="n">
        <f aca="false">'Market Assumptions'!$B$4*(1+'Market Assumptions'!$B$5/12)^(A21-1)</f>
        <v>0</v>
      </c>
      <c r="G21" s="20" t="n">
        <f aca="false">D21*F21</f>
        <v>0</v>
      </c>
      <c r="H21" s="5"/>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row>
    <row r="22" customFormat="false" ht="15" hidden="false" customHeight="true" outlineLevel="0" collapsed="false">
      <c r="A22" s="3" t="n">
        <v>19</v>
      </c>
      <c r="B22" s="18" t="n">
        <f aca="false">EOMONTH('Property Info'!$B$7,A22-1)</f>
        <v>46783</v>
      </c>
      <c r="C22" s="19" t="n">
        <f aca="false">E21</f>
        <v>0</v>
      </c>
      <c r="D22" s="19" t="n">
        <f aca="false">MIN('Market Assumptions'!$B$6,C22)</f>
        <v>0</v>
      </c>
      <c r="E22" s="19" t="n">
        <f aca="false">MAX(C22-D22,0)</f>
        <v>0</v>
      </c>
      <c r="F22" s="20" t="n">
        <f aca="false">'Market Assumptions'!$B$4*(1+'Market Assumptions'!$B$5/12)^(A22-1)</f>
        <v>0</v>
      </c>
      <c r="G22" s="20" t="n">
        <f aca="false">D22*F22</f>
        <v>0</v>
      </c>
      <c r="H22" s="5"/>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row>
    <row r="23" customFormat="false" ht="15" hidden="false" customHeight="true" outlineLevel="0" collapsed="false">
      <c r="A23" s="3" t="n">
        <v>20</v>
      </c>
      <c r="B23" s="18" t="n">
        <f aca="false">EOMONTH('Property Info'!$B$7,A23-1)</f>
        <v>46812</v>
      </c>
      <c r="C23" s="19" t="n">
        <f aca="false">E22</f>
        <v>0</v>
      </c>
      <c r="D23" s="19" t="n">
        <f aca="false">MIN('Market Assumptions'!$B$6,C23)</f>
        <v>0</v>
      </c>
      <c r="E23" s="19" t="n">
        <f aca="false">MAX(C23-D23,0)</f>
        <v>0</v>
      </c>
      <c r="F23" s="20" t="n">
        <f aca="false">'Market Assumptions'!$B$4*(1+'Market Assumptions'!$B$5/12)^(A23-1)</f>
        <v>0</v>
      </c>
      <c r="G23" s="20" t="n">
        <f aca="false">D23*F23</f>
        <v>0</v>
      </c>
      <c r="H23" s="5"/>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row>
    <row r="24" customFormat="false" ht="15" hidden="false" customHeight="true" outlineLevel="0" collapsed="false">
      <c r="A24" s="3" t="n">
        <v>21</v>
      </c>
      <c r="B24" s="18" t="n">
        <f aca="false">EOMONTH('Property Info'!$B$7,A24-1)</f>
        <v>46843</v>
      </c>
      <c r="C24" s="19" t="n">
        <f aca="false">E23</f>
        <v>0</v>
      </c>
      <c r="D24" s="19" t="n">
        <f aca="false">MIN('Market Assumptions'!$B$6,C24)</f>
        <v>0</v>
      </c>
      <c r="E24" s="19" t="n">
        <f aca="false">MAX(C24-D24,0)</f>
        <v>0</v>
      </c>
      <c r="F24" s="20" t="n">
        <f aca="false">'Market Assumptions'!$B$4*(1+'Market Assumptions'!$B$5/12)^(A24-1)</f>
        <v>0</v>
      </c>
      <c r="G24" s="20" t="n">
        <f aca="false">D24*F24</f>
        <v>0</v>
      </c>
      <c r="H24" s="5"/>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row>
    <row r="25" customFormat="false" ht="15" hidden="false" customHeight="true" outlineLevel="0" collapsed="false">
      <c r="A25" s="3" t="n">
        <v>22</v>
      </c>
      <c r="B25" s="18" t="n">
        <f aca="false">EOMONTH('Property Info'!$B$7,A25-1)</f>
        <v>46873</v>
      </c>
      <c r="C25" s="19" t="n">
        <f aca="false">E24</f>
        <v>0</v>
      </c>
      <c r="D25" s="19" t="n">
        <f aca="false">MIN('Market Assumptions'!$B$6,C25)</f>
        <v>0</v>
      </c>
      <c r="E25" s="19" t="n">
        <f aca="false">MAX(C25-D25,0)</f>
        <v>0</v>
      </c>
      <c r="F25" s="20" t="n">
        <f aca="false">'Market Assumptions'!$B$4*(1+'Market Assumptions'!$B$5/12)^(A25-1)</f>
        <v>0</v>
      </c>
      <c r="G25" s="20" t="n">
        <f aca="false">D25*F25</f>
        <v>0</v>
      </c>
      <c r="H25" s="5"/>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row>
    <row r="26" customFormat="false" ht="15" hidden="false" customHeight="true" outlineLevel="0" collapsed="false">
      <c r="A26" s="3" t="n">
        <v>23</v>
      </c>
      <c r="B26" s="18" t="n">
        <f aca="false">EOMONTH('Property Info'!$B$7,A26-1)</f>
        <v>46904</v>
      </c>
      <c r="C26" s="19" t="n">
        <f aca="false">E25</f>
        <v>0</v>
      </c>
      <c r="D26" s="19" t="n">
        <f aca="false">MIN('Market Assumptions'!$B$6,C26)</f>
        <v>0</v>
      </c>
      <c r="E26" s="19" t="n">
        <f aca="false">MAX(C26-D26,0)</f>
        <v>0</v>
      </c>
      <c r="F26" s="20" t="n">
        <f aca="false">'Market Assumptions'!$B$4*(1+'Market Assumptions'!$B$5/12)^(A26-1)</f>
        <v>0</v>
      </c>
      <c r="G26" s="20" t="n">
        <f aca="false">D26*F26</f>
        <v>0</v>
      </c>
      <c r="H26" s="5"/>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row>
    <row r="27" customFormat="false" ht="15" hidden="false" customHeight="true" outlineLevel="0" collapsed="false">
      <c r="A27" s="3" t="n">
        <v>24</v>
      </c>
      <c r="B27" s="18" t="n">
        <f aca="false">EOMONTH('Property Info'!$B$7,A27-1)</f>
        <v>46934</v>
      </c>
      <c r="C27" s="19" t="n">
        <f aca="false">E26</f>
        <v>0</v>
      </c>
      <c r="D27" s="19" t="n">
        <f aca="false">MIN('Market Assumptions'!$B$6,C27)</f>
        <v>0</v>
      </c>
      <c r="E27" s="19" t="n">
        <f aca="false">MAX(C27-D27,0)</f>
        <v>0</v>
      </c>
      <c r="F27" s="20" t="n">
        <f aca="false">'Market Assumptions'!$B$4*(1+'Market Assumptions'!$B$5/12)^(A27-1)</f>
        <v>0</v>
      </c>
      <c r="G27" s="20" t="n">
        <f aca="false">D27*F27</f>
        <v>0</v>
      </c>
      <c r="H27" s="5"/>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row>
    <row r="28" customFormat="false" ht="15" hidden="false" customHeight="true" outlineLevel="0" collapsed="false">
      <c r="A28" s="3" t="n">
        <v>25</v>
      </c>
      <c r="B28" s="18" t="n">
        <f aca="false">EOMONTH('Property Info'!$B$7,A28-1)</f>
        <v>46965</v>
      </c>
      <c r="C28" s="19" t="n">
        <f aca="false">E27</f>
        <v>0</v>
      </c>
      <c r="D28" s="19" t="n">
        <f aca="false">MIN('Market Assumptions'!$B$6,C28)</f>
        <v>0</v>
      </c>
      <c r="E28" s="19" t="n">
        <f aca="false">MAX(C28-D28,0)</f>
        <v>0</v>
      </c>
      <c r="F28" s="20" t="n">
        <f aca="false">'Market Assumptions'!$B$4*(1+'Market Assumptions'!$B$5/12)^(A28-1)</f>
        <v>0</v>
      </c>
      <c r="G28" s="20" t="n">
        <f aca="false">D28*F28</f>
        <v>0</v>
      </c>
      <c r="H28" s="5"/>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row>
    <row r="29" customFormat="false" ht="15" hidden="false" customHeight="true" outlineLevel="0" collapsed="false">
      <c r="A29" s="3" t="n">
        <v>26</v>
      </c>
      <c r="B29" s="18" t="n">
        <f aca="false">EOMONTH('Property Info'!$B$7,A29-1)</f>
        <v>46996</v>
      </c>
      <c r="C29" s="19" t="n">
        <f aca="false">E28</f>
        <v>0</v>
      </c>
      <c r="D29" s="19" t="n">
        <f aca="false">MIN('Market Assumptions'!$B$6,C29)</f>
        <v>0</v>
      </c>
      <c r="E29" s="19" t="n">
        <f aca="false">MAX(C29-D29,0)</f>
        <v>0</v>
      </c>
      <c r="F29" s="20" t="n">
        <f aca="false">'Market Assumptions'!$B$4*(1+'Market Assumptions'!$B$5/12)^(A29-1)</f>
        <v>0</v>
      </c>
      <c r="G29" s="20" t="n">
        <f aca="false">D29*F29</f>
        <v>0</v>
      </c>
      <c r="H29" s="5"/>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row>
    <row r="30" customFormat="false" ht="15" hidden="false" customHeight="true" outlineLevel="0" collapsed="false">
      <c r="A30" s="3" t="n">
        <v>27</v>
      </c>
      <c r="B30" s="18" t="n">
        <f aca="false">EOMONTH('Property Info'!$B$7,A30-1)</f>
        <v>47026</v>
      </c>
      <c r="C30" s="19" t="n">
        <f aca="false">E29</f>
        <v>0</v>
      </c>
      <c r="D30" s="19" t="n">
        <f aca="false">MIN('Market Assumptions'!$B$6,C30)</f>
        <v>0</v>
      </c>
      <c r="E30" s="19" t="n">
        <f aca="false">MAX(C30-D30,0)</f>
        <v>0</v>
      </c>
      <c r="F30" s="20" t="n">
        <f aca="false">'Market Assumptions'!$B$4*(1+'Market Assumptions'!$B$5/12)^(A30-1)</f>
        <v>0</v>
      </c>
      <c r="G30" s="20" t="n">
        <f aca="false">D30*F30</f>
        <v>0</v>
      </c>
      <c r="H30" s="5"/>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row>
    <row r="31" customFormat="false" ht="15" hidden="false" customHeight="true" outlineLevel="0" collapsed="false">
      <c r="A31" s="3" t="n">
        <v>28</v>
      </c>
      <c r="B31" s="18" t="n">
        <f aca="false">EOMONTH('Property Info'!$B$7,A31-1)</f>
        <v>47057</v>
      </c>
      <c r="C31" s="19" t="n">
        <f aca="false">E30</f>
        <v>0</v>
      </c>
      <c r="D31" s="19" t="n">
        <f aca="false">MIN('Market Assumptions'!$B$6,C31)</f>
        <v>0</v>
      </c>
      <c r="E31" s="19" t="n">
        <f aca="false">MAX(C31-D31,0)</f>
        <v>0</v>
      </c>
      <c r="F31" s="20" t="n">
        <f aca="false">'Market Assumptions'!$B$4*(1+'Market Assumptions'!$B$5/12)^(A31-1)</f>
        <v>0</v>
      </c>
      <c r="G31" s="20" t="n">
        <f aca="false">D31*F31</f>
        <v>0</v>
      </c>
      <c r="H31" s="5"/>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row>
    <row r="32" customFormat="false" ht="15" hidden="false" customHeight="true" outlineLevel="0" collapsed="false">
      <c r="A32" s="3" t="n">
        <v>29</v>
      </c>
      <c r="B32" s="18" t="n">
        <f aca="false">EOMONTH('Property Info'!$B$7,A32-1)</f>
        <v>47087</v>
      </c>
      <c r="C32" s="19" t="n">
        <f aca="false">E31</f>
        <v>0</v>
      </c>
      <c r="D32" s="19" t="n">
        <f aca="false">MIN('Market Assumptions'!$B$6,C32)</f>
        <v>0</v>
      </c>
      <c r="E32" s="19" t="n">
        <f aca="false">MAX(C32-D32,0)</f>
        <v>0</v>
      </c>
      <c r="F32" s="20" t="n">
        <f aca="false">'Market Assumptions'!$B$4*(1+'Market Assumptions'!$B$5/12)^(A32-1)</f>
        <v>0</v>
      </c>
      <c r="G32" s="20" t="n">
        <f aca="false">D32*F32</f>
        <v>0</v>
      </c>
      <c r="H32" s="5"/>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row>
    <row r="33" customFormat="false" ht="15" hidden="false" customHeight="true" outlineLevel="0" collapsed="false">
      <c r="A33" s="3" t="n">
        <v>30</v>
      </c>
      <c r="B33" s="18" t="n">
        <f aca="false">EOMONTH('Property Info'!$B$7,A33-1)</f>
        <v>47118</v>
      </c>
      <c r="C33" s="19" t="n">
        <f aca="false">E32</f>
        <v>0</v>
      </c>
      <c r="D33" s="19" t="n">
        <f aca="false">MIN('Market Assumptions'!$B$6,C33)</f>
        <v>0</v>
      </c>
      <c r="E33" s="19" t="n">
        <f aca="false">MAX(C33-D33,0)</f>
        <v>0</v>
      </c>
      <c r="F33" s="20" t="n">
        <f aca="false">'Market Assumptions'!$B$4*(1+'Market Assumptions'!$B$5/12)^(A33-1)</f>
        <v>0</v>
      </c>
      <c r="G33" s="20" t="n">
        <f aca="false">D33*F33</f>
        <v>0</v>
      </c>
      <c r="H33" s="5"/>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row>
    <row r="34" customFormat="false" ht="15" hidden="false" customHeight="true" outlineLevel="0" collapsed="false">
      <c r="A34" s="3" t="n">
        <v>31</v>
      </c>
      <c r="B34" s="18" t="n">
        <f aca="false">EOMONTH('Property Info'!$B$7,A34-1)</f>
        <v>47149</v>
      </c>
      <c r="C34" s="19" t="n">
        <f aca="false">E33</f>
        <v>0</v>
      </c>
      <c r="D34" s="19" t="n">
        <f aca="false">MIN('Market Assumptions'!$B$6,C34)</f>
        <v>0</v>
      </c>
      <c r="E34" s="19" t="n">
        <f aca="false">MAX(C34-D34,0)</f>
        <v>0</v>
      </c>
      <c r="F34" s="20" t="n">
        <f aca="false">'Market Assumptions'!$B$4*(1+'Market Assumptions'!$B$5/12)^(A34-1)</f>
        <v>0</v>
      </c>
      <c r="G34" s="20" t="n">
        <f aca="false">D34*F34</f>
        <v>0</v>
      </c>
      <c r="H34" s="5"/>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row>
    <row r="35" customFormat="false" ht="15" hidden="false" customHeight="true" outlineLevel="0" collapsed="false">
      <c r="A35" s="3" t="n">
        <v>32</v>
      </c>
      <c r="B35" s="18" t="n">
        <f aca="false">EOMONTH('Property Info'!$B$7,A35-1)</f>
        <v>47177</v>
      </c>
      <c r="C35" s="19" t="n">
        <f aca="false">E34</f>
        <v>0</v>
      </c>
      <c r="D35" s="19" t="n">
        <f aca="false">MIN('Market Assumptions'!$B$6,C35)</f>
        <v>0</v>
      </c>
      <c r="E35" s="19" t="n">
        <f aca="false">MAX(C35-D35,0)</f>
        <v>0</v>
      </c>
      <c r="F35" s="20" t="n">
        <f aca="false">'Market Assumptions'!$B$4*(1+'Market Assumptions'!$B$5/12)^(A35-1)</f>
        <v>0</v>
      </c>
      <c r="G35" s="20" t="n">
        <f aca="false">D35*F35</f>
        <v>0</v>
      </c>
      <c r="H35" s="5"/>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row>
    <row r="36" customFormat="false" ht="15" hidden="false" customHeight="true" outlineLevel="0" collapsed="false">
      <c r="A36" s="3" t="n">
        <v>33</v>
      </c>
      <c r="B36" s="18" t="n">
        <f aca="false">EOMONTH('Property Info'!$B$7,A36-1)</f>
        <v>47208</v>
      </c>
      <c r="C36" s="19" t="n">
        <f aca="false">E35</f>
        <v>0</v>
      </c>
      <c r="D36" s="19" t="n">
        <f aca="false">MIN('Market Assumptions'!$B$6,C36)</f>
        <v>0</v>
      </c>
      <c r="E36" s="19" t="n">
        <f aca="false">MAX(C36-D36,0)</f>
        <v>0</v>
      </c>
      <c r="F36" s="20" t="n">
        <f aca="false">'Market Assumptions'!$B$4*(1+'Market Assumptions'!$B$5/12)^(A36-1)</f>
        <v>0</v>
      </c>
      <c r="G36" s="20" t="n">
        <f aca="false">D36*F36</f>
        <v>0</v>
      </c>
      <c r="H36" s="5"/>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row>
    <row r="37" customFormat="false" ht="15" hidden="false" customHeight="true" outlineLevel="0" collapsed="false">
      <c r="A37" s="3" t="n">
        <v>34</v>
      </c>
      <c r="B37" s="18" t="n">
        <f aca="false">EOMONTH('Property Info'!$B$7,A37-1)</f>
        <v>47238</v>
      </c>
      <c r="C37" s="19" t="n">
        <f aca="false">E36</f>
        <v>0</v>
      </c>
      <c r="D37" s="19" t="n">
        <f aca="false">MIN('Market Assumptions'!$B$6,C37)</f>
        <v>0</v>
      </c>
      <c r="E37" s="19" t="n">
        <f aca="false">MAX(C37-D37,0)</f>
        <v>0</v>
      </c>
      <c r="F37" s="20" t="n">
        <f aca="false">'Market Assumptions'!$B$4*(1+'Market Assumptions'!$B$5/12)^(A37-1)</f>
        <v>0</v>
      </c>
      <c r="G37" s="20" t="n">
        <f aca="false">D37*F37</f>
        <v>0</v>
      </c>
      <c r="H37" s="5"/>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row>
    <row r="38" customFormat="false" ht="15" hidden="false" customHeight="true" outlineLevel="0" collapsed="false">
      <c r="A38" s="3" t="n">
        <v>35</v>
      </c>
      <c r="B38" s="18" t="n">
        <f aca="false">EOMONTH('Property Info'!$B$7,A38-1)</f>
        <v>47269</v>
      </c>
      <c r="C38" s="19" t="n">
        <f aca="false">E37</f>
        <v>0</v>
      </c>
      <c r="D38" s="19" t="n">
        <f aca="false">MIN('Market Assumptions'!$B$6,C38)</f>
        <v>0</v>
      </c>
      <c r="E38" s="19" t="n">
        <f aca="false">MAX(C38-D38,0)</f>
        <v>0</v>
      </c>
      <c r="F38" s="20" t="n">
        <f aca="false">'Market Assumptions'!$B$4*(1+'Market Assumptions'!$B$5/12)^(A38-1)</f>
        <v>0</v>
      </c>
      <c r="G38" s="20" t="n">
        <f aca="false">D38*F38</f>
        <v>0</v>
      </c>
      <c r="H38" s="5"/>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row>
    <row r="39" customFormat="false" ht="15" hidden="false" customHeight="true" outlineLevel="0" collapsed="false">
      <c r="A39" s="3" t="n">
        <v>36</v>
      </c>
      <c r="B39" s="18" t="n">
        <f aca="false">EOMONTH('Property Info'!$B$7,A39-1)</f>
        <v>47299</v>
      </c>
      <c r="C39" s="19" t="n">
        <f aca="false">E38</f>
        <v>0</v>
      </c>
      <c r="D39" s="19" t="n">
        <f aca="false">MIN('Market Assumptions'!$B$6,C39)</f>
        <v>0</v>
      </c>
      <c r="E39" s="19" t="n">
        <f aca="false">MAX(C39-D39,0)</f>
        <v>0</v>
      </c>
      <c r="F39" s="20" t="n">
        <f aca="false">'Market Assumptions'!$B$4*(1+'Market Assumptions'!$B$5/12)^(A39-1)</f>
        <v>0</v>
      </c>
      <c r="G39" s="20" t="n">
        <f aca="false">D39*F39</f>
        <v>0</v>
      </c>
      <c r="H39" s="5"/>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row>
    <row r="40" customFormat="false" ht="15" hidden="false" customHeight="true" outlineLevel="0" collapsed="false">
      <c r="A40" s="3" t="n">
        <v>37</v>
      </c>
      <c r="B40" s="18" t="n">
        <f aca="false">EOMONTH('Property Info'!$B$7,A40-1)</f>
        <v>47330</v>
      </c>
      <c r="C40" s="19" t="n">
        <f aca="false">E39</f>
        <v>0</v>
      </c>
      <c r="D40" s="19" t="n">
        <f aca="false">MIN('Market Assumptions'!$B$6,C40)</f>
        <v>0</v>
      </c>
      <c r="E40" s="19" t="n">
        <f aca="false">MAX(C40-D40,0)</f>
        <v>0</v>
      </c>
      <c r="F40" s="20" t="n">
        <f aca="false">'Market Assumptions'!$B$4*(1+'Market Assumptions'!$B$5/12)^(A40-1)</f>
        <v>0</v>
      </c>
      <c r="G40" s="20" t="n">
        <f aca="false">D40*F40</f>
        <v>0</v>
      </c>
      <c r="H40" s="5"/>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row>
    <row r="41" customFormat="false" ht="15" hidden="false" customHeight="true" outlineLevel="0" collapsed="false">
      <c r="A41" s="3" t="n">
        <v>38</v>
      </c>
      <c r="B41" s="18" t="n">
        <f aca="false">EOMONTH('Property Info'!$B$7,A41-1)</f>
        <v>47361</v>
      </c>
      <c r="C41" s="19" t="n">
        <f aca="false">E40</f>
        <v>0</v>
      </c>
      <c r="D41" s="19" t="n">
        <f aca="false">MIN('Market Assumptions'!$B$6,C41)</f>
        <v>0</v>
      </c>
      <c r="E41" s="19" t="n">
        <f aca="false">MAX(C41-D41,0)</f>
        <v>0</v>
      </c>
      <c r="F41" s="20" t="n">
        <f aca="false">'Market Assumptions'!$B$4*(1+'Market Assumptions'!$B$5/12)^(A41-1)</f>
        <v>0</v>
      </c>
      <c r="G41" s="20" t="n">
        <f aca="false">D41*F41</f>
        <v>0</v>
      </c>
      <c r="H41" s="5"/>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row>
    <row r="42" customFormat="false" ht="15" hidden="false" customHeight="true" outlineLevel="0" collapsed="false">
      <c r="A42" s="3" t="n">
        <v>39</v>
      </c>
      <c r="B42" s="18" t="n">
        <f aca="false">EOMONTH('Property Info'!$B$7,A42-1)</f>
        <v>47391</v>
      </c>
      <c r="C42" s="19" t="n">
        <f aca="false">E41</f>
        <v>0</v>
      </c>
      <c r="D42" s="19" t="n">
        <f aca="false">MIN('Market Assumptions'!$B$6,C42)</f>
        <v>0</v>
      </c>
      <c r="E42" s="19" t="n">
        <f aca="false">MAX(C42-D42,0)</f>
        <v>0</v>
      </c>
      <c r="F42" s="20" t="n">
        <f aca="false">'Market Assumptions'!$B$4*(1+'Market Assumptions'!$B$5/12)^(A42-1)</f>
        <v>0</v>
      </c>
      <c r="G42" s="20" t="n">
        <f aca="false">D42*F42</f>
        <v>0</v>
      </c>
      <c r="H42" s="5"/>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row>
    <row r="43" customFormat="false" ht="15" hidden="false" customHeight="true" outlineLevel="0" collapsed="false">
      <c r="A43" s="3" t="n">
        <v>40</v>
      </c>
      <c r="B43" s="18" t="n">
        <f aca="false">EOMONTH('Property Info'!$B$7,A43-1)</f>
        <v>47422</v>
      </c>
      <c r="C43" s="19" t="n">
        <f aca="false">E42</f>
        <v>0</v>
      </c>
      <c r="D43" s="19" t="n">
        <f aca="false">MIN('Market Assumptions'!$B$6,C43)</f>
        <v>0</v>
      </c>
      <c r="E43" s="19" t="n">
        <f aca="false">MAX(C43-D43,0)</f>
        <v>0</v>
      </c>
      <c r="F43" s="20" t="n">
        <f aca="false">'Market Assumptions'!$B$4*(1+'Market Assumptions'!$B$5/12)^(A43-1)</f>
        <v>0</v>
      </c>
      <c r="G43" s="20" t="n">
        <f aca="false">D43*F43</f>
        <v>0</v>
      </c>
      <c r="H43" s="5"/>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row>
    <row r="44" customFormat="false" ht="15" hidden="false" customHeight="true" outlineLevel="0" collapsed="false">
      <c r="A44" s="3" t="n">
        <v>41</v>
      </c>
      <c r="B44" s="18" t="n">
        <f aca="false">EOMONTH('Property Info'!$B$7,A44-1)</f>
        <v>47452</v>
      </c>
      <c r="C44" s="19" t="n">
        <f aca="false">E43</f>
        <v>0</v>
      </c>
      <c r="D44" s="19" t="n">
        <f aca="false">MIN('Market Assumptions'!$B$6,C44)</f>
        <v>0</v>
      </c>
      <c r="E44" s="19" t="n">
        <f aca="false">MAX(C44-D44,0)</f>
        <v>0</v>
      </c>
      <c r="F44" s="20" t="n">
        <f aca="false">'Market Assumptions'!$B$4*(1+'Market Assumptions'!$B$5/12)^(A44-1)</f>
        <v>0</v>
      </c>
      <c r="G44" s="20" t="n">
        <f aca="false">D44*F44</f>
        <v>0</v>
      </c>
      <c r="H44" s="5"/>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row>
    <row r="45" customFormat="false" ht="15" hidden="false" customHeight="true" outlineLevel="0" collapsed="false">
      <c r="A45" s="3" t="n">
        <v>42</v>
      </c>
      <c r="B45" s="18" t="n">
        <f aca="false">EOMONTH('Property Info'!$B$7,A45-1)</f>
        <v>47483</v>
      </c>
      <c r="C45" s="19" t="n">
        <f aca="false">E44</f>
        <v>0</v>
      </c>
      <c r="D45" s="19" t="n">
        <f aca="false">MIN('Market Assumptions'!$B$6,C45)</f>
        <v>0</v>
      </c>
      <c r="E45" s="19" t="n">
        <f aca="false">MAX(C45-D45,0)</f>
        <v>0</v>
      </c>
      <c r="F45" s="20" t="n">
        <f aca="false">'Market Assumptions'!$B$4*(1+'Market Assumptions'!$B$5/12)^(A45-1)</f>
        <v>0</v>
      </c>
      <c r="G45" s="20" t="n">
        <f aca="false">D45*F45</f>
        <v>0</v>
      </c>
      <c r="H45" s="5"/>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row>
    <row r="46" customFormat="false" ht="15" hidden="false" customHeight="true" outlineLevel="0" collapsed="false">
      <c r="A46" s="3" t="n">
        <v>43</v>
      </c>
      <c r="B46" s="18" t="n">
        <f aca="false">EOMONTH('Property Info'!$B$7,A46-1)</f>
        <v>47514</v>
      </c>
      <c r="C46" s="19" t="n">
        <f aca="false">E45</f>
        <v>0</v>
      </c>
      <c r="D46" s="19" t="n">
        <f aca="false">MIN('Market Assumptions'!$B$6,C46)</f>
        <v>0</v>
      </c>
      <c r="E46" s="19" t="n">
        <f aca="false">MAX(C46-D46,0)</f>
        <v>0</v>
      </c>
      <c r="F46" s="20" t="n">
        <f aca="false">'Market Assumptions'!$B$4*(1+'Market Assumptions'!$B$5/12)^(A46-1)</f>
        <v>0</v>
      </c>
      <c r="G46" s="20" t="n">
        <f aca="false">D46*F46</f>
        <v>0</v>
      </c>
      <c r="H46" s="5"/>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row>
    <row r="47" customFormat="false" ht="15" hidden="false" customHeight="true" outlineLevel="0" collapsed="false">
      <c r="A47" s="3" t="n">
        <v>44</v>
      </c>
      <c r="B47" s="18" t="n">
        <f aca="false">EOMONTH('Property Info'!$B$7,A47-1)</f>
        <v>47542</v>
      </c>
      <c r="C47" s="19" t="n">
        <f aca="false">E46</f>
        <v>0</v>
      </c>
      <c r="D47" s="19" t="n">
        <f aca="false">MIN('Market Assumptions'!$B$6,C47)</f>
        <v>0</v>
      </c>
      <c r="E47" s="19" t="n">
        <f aca="false">MAX(C47-D47,0)</f>
        <v>0</v>
      </c>
      <c r="F47" s="20" t="n">
        <f aca="false">'Market Assumptions'!$B$4*(1+'Market Assumptions'!$B$5/12)^(A47-1)</f>
        <v>0</v>
      </c>
      <c r="G47" s="20" t="n">
        <f aca="false">D47*F47</f>
        <v>0</v>
      </c>
      <c r="H47" s="5"/>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row>
    <row r="48" customFormat="false" ht="15" hidden="false" customHeight="true" outlineLevel="0" collapsed="false">
      <c r="A48" s="3" t="n">
        <v>45</v>
      </c>
      <c r="B48" s="18" t="n">
        <f aca="false">EOMONTH('Property Info'!$B$7,A48-1)</f>
        <v>47573</v>
      </c>
      <c r="C48" s="19" t="n">
        <f aca="false">E47</f>
        <v>0</v>
      </c>
      <c r="D48" s="19" t="n">
        <f aca="false">MIN('Market Assumptions'!$B$6,C48)</f>
        <v>0</v>
      </c>
      <c r="E48" s="19" t="n">
        <f aca="false">MAX(C48-D48,0)</f>
        <v>0</v>
      </c>
      <c r="F48" s="20" t="n">
        <f aca="false">'Market Assumptions'!$B$4*(1+'Market Assumptions'!$B$5/12)^(A48-1)</f>
        <v>0</v>
      </c>
      <c r="G48" s="20" t="n">
        <f aca="false">D48*F48</f>
        <v>0</v>
      </c>
      <c r="H48" s="5"/>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row>
    <row r="49" customFormat="false" ht="15" hidden="false" customHeight="true" outlineLevel="0" collapsed="false">
      <c r="A49" s="3" t="n">
        <v>46</v>
      </c>
      <c r="B49" s="18" t="n">
        <f aca="false">EOMONTH('Property Info'!$B$7,A49-1)</f>
        <v>47603</v>
      </c>
      <c r="C49" s="19" t="n">
        <f aca="false">E48</f>
        <v>0</v>
      </c>
      <c r="D49" s="19" t="n">
        <f aca="false">MIN('Market Assumptions'!$B$6,C49)</f>
        <v>0</v>
      </c>
      <c r="E49" s="19" t="n">
        <f aca="false">MAX(C49-D49,0)</f>
        <v>0</v>
      </c>
      <c r="F49" s="20" t="n">
        <f aca="false">'Market Assumptions'!$B$4*(1+'Market Assumptions'!$B$5/12)^(A49-1)</f>
        <v>0</v>
      </c>
      <c r="G49" s="20" t="n">
        <f aca="false">D49*F49</f>
        <v>0</v>
      </c>
      <c r="H49" s="5"/>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row>
    <row r="50" customFormat="false" ht="15" hidden="false" customHeight="true" outlineLevel="0" collapsed="false">
      <c r="A50" s="3" t="n">
        <v>47</v>
      </c>
      <c r="B50" s="18" t="n">
        <f aca="false">EOMONTH('Property Info'!$B$7,A50-1)</f>
        <v>47634</v>
      </c>
      <c r="C50" s="19" t="n">
        <f aca="false">E49</f>
        <v>0</v>
      </c>
      <c r="D50" s="19" t="n">
        <f aca="false">MIN('Market Assumptions'!$B$6,C50)</f>
        <v>0</v>
      </c>
      <c r="E50" s="19" t="n">
        <f aca="false">MAX(C50-D50,0)</f>
        <v>0</v>
      </c>
      <c r="F50" s="20" t="n">
        <f aca="false">'Market Assumptions'!$B$4*(1+'Market Assumptions'!$B$5/12)^(A50-1)</f>
        <v>0</v>
      </c>
      <c r="G50" s="20" t="n">
        <f aca="false">D50*F50</f>
        <v>0</v>
      </c>
      <c r="H50" s="5"/>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row>
    <row r="51" customFormat="false" ht="15" hidden="false" customHeight="true" outlineLevel="0" collapsed="false">
      <c r="A51" s="3" t="n">
        <v>48</v>
      </c>
      <c r="B51" s="18" t="n">
        <f aca="false">EOMONTH('Property Info'!$B$7,A51-1)</f>
        <v>47664</v>
      </c>
      <c r="C51" s="19" t="n">
        <f aca="false">E50</f>
        <v>0</v>
      </c>
      <c r="D51" s="19" t="n">
        <f aca="false">MIN('Market Assumptions'!$B$6,C51)</f>
        <v>0</v>
      </c>
      <c r="E51" s="19" t="n">
        <f aca="false">MAX(C51-D51,0)</f>
        <v>0</v>
      </c>
      <c r="F51" s="20" t="n">
        <f aca="false">'Market Assumptions'!$B$4*(1+'Market Assumptions'!$B$5/12)^(A51-1)</f>
        <v>0</v>
      </c>
      <c r="G51" s="20" t="n">
        <f aca="false">D51*F51</f>
        <v>0</v>
      </c>
      <c r="H51" s="5"/>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row>
    <row r="52" customFormat="false" ht="15" hidden="false" customHeight="true" outlineLevel="0" collapsed="false">
      <c r="A52" s="3" t="n">
        <v>49</v>
      </c>
      <c r="B52" s="18" t="n">
        <f aca="false">EOMONTH('Property Info'!$B$7,A52-1)</f>
        <v>47695</v>
      </c>
      <c r="C52" s="19" t="n">
        <f aca="false">E51</f>
        <v>0</v>
      </c>
      <c r="D52" s="19" t="n">
        <f aca="false">MIN('Market Assumptions'!$B$6,C52)</f>
        <v>0</v>
      </c>
      <c r="E52" s="19" t="n">
        <f aca="false">MAX(C52-D52,0)</f>
        <v>0</v>
      </c>
      <c r="F52" s="20" t="n">
        <f aca="false">'Market Assumptions'!$B$4*(1+'Market Assumptions'!$B$5/12)^(A52-1)</f>
        <v>0</v>
      </c>
      <c r="G52" s="20" t="n">
        <f aca="false">D52*F52</f>
        <v>0</v>
      </c>
      <c r="H52" s="5"/>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row>
    <row r="53" customFormat="false" ht="15" hidden="false" customHeight="true" outlineLevel="0" collapsed="false">
      <c r="A53" s="3" t="n">
        <v>50</v>
      </c>
      <c r="B53" s="18" t="n">
        <f aca="false">EOMONTH('Property Info'!$B$7,A53-1)</f>
        <v>47726</v>
      </c>
      <c r="C53" s="19" t="n">
        <f aca="false">E52</f>
        <v>0</v>
      </c>
      <c r="D53" s="19" t="n">
        <f aca="false">MIN('Market Assumptions'!$B$6,C53)</f>
        <v>0</v>
      </c>
      <c r="E53" s="19" t="n">
        <f aca="false">MAX(C53-D53,0)</f>
        <v>0</v>
      </c>
      <c r="F53" s="20" t="n">
        <f aca="false">'Market Assumptions'!$B$4*(1+'Market Assumptions'!$B$5/12)^(A53-1)</f>
        <v>0</v>
      </c>
      <c r="G53" s="20" t="n">
        <f aca="false">D53*F53</f>
        <v>0</v>
      </c>
      <c r="H53" s="5"/>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row>
    <row r="54" customFormat="false" ht="15" hidden="false" customHeight="true" outlineLevel="0" collapsed="false">
      <c r="A54" s="3" t="n">
        <v>51</v>
      </c>
      <c r="B54" s="18" t="n">
        <f aca="false">EOMONTH('Property Info'!$B$7,A54-1)</f>
        <v>47756</v>
      </c>
      <c r="C54" s="19" t="n">
        <f aca="false">E53</f>
        <v>0</v>
      </c>
      <c r="D54" s="19" t="n">
        <f aca="false">MIN('Market Assumptions'!$B$6,C54)</f>
        <v>0</v>
      </c>
      <c r="E54" s="19" t="n">
        <f aca="false">MAX(C54-D54,0)</f>
        <v>0</v>
      </c>
      <c r="F54" s="20" t="n">
        <f aca="false">'Market Assumptions'!$B$4*(1+'Market Assumptions'!$B$5/12)^(A54-1)</f>
        <v>0</v>
      </c>
      <c r="G54" s="20" t="n">
        <f aca="false">D54*F54</f>
        <v>0</v>
      </c>
      <c r="H54" s="5"/>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row>
    <row r="55" customFormat="false" ht="15" hidden="false" customHeight="true" outlineLevel="0" collapsed="false">
      <c r="A55" s="3" t="n">
        <v>52</v>
      </c>
      <c r="B55" s="18" t="n">
        <f aca="false">EOMONTH('Property Info'!$B$7,A55-1)</f>
        <v>47787</v>
      </c>
      <c r="C55" s="19" t="n">
        <f aca="false">E54</f>
        <v>0</v>
      </c>
      <c r="D55" s="19" t="n">
        <f aca="false">MIN('Market Assumptions'!$B$6,C55)</f>
        <v>0</v>
      </c>
      <c r="E55" s="19" t="n">
        <f aca="false">MAX(C55-D55,0)</f>
        <v>0</v>
      </c>
      <c r="F55" s="20" t="n">
        <f aca="false">'Market Assumptions'!$B$4*(1+'Market Assumptions'!$B$5/12)^(A55-1)</f>
        <v>0</v>
      </c>
      <c r="G55" s="20" t="n">
        <f aca="false">D55*F55</f>
        <v>0</v>
      </c>
      <c r="H55" s="5"/>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row>
    <row r="56" customFormat="false" ht="15" hidden="false" customHeight="true" outlineLevel="0" collapsed="false">
      <c r="A56" s="3" t="n">
        <v>53</v>
      </c>
      <c r="B56" s="18" t="n">
        <f aca="false">EOMONTH('Property Info'!$B$7,A56-1)</f>
        <v>47817</v>
      </c>
      <c r="C56" s="19" t="n">
        <f aca="false">E55</f>
        <v>0</v>
      </c>
      <c r="D56" s="19" t="n">
        <f aca="false">MIN('Market Assumptions'!$B$6,C56)</f>
        <v>0</v>
      </c>
      <c r="E56" s="19" t="n">
        <f aca="false">MAX(C56-D56,0)</f>
        <v>0</v>
      </c>
      <c r="F56" s="20" t="n">
        <f aca="false">'Market Assumptions'!$B$4*(1+'Market Assumptions'!$B$5/12)^(A56-1)</f>
        <v>0</v>
      </c>
      <c r="G56" s="20" t="n">
        <f aca="false">D56*F56</f>
        <v>0</v>
      </c>
      <c r="H56" s="5"/>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row>
    <row r="57" customFormat="false" ht="15" hidden="false" customHeight="true" outlineLevel="0" collapsed="false">
      <c r="A57" s="3" t="n">
        <v>54</v>
      </c>
      <c r="B57" s="18" t="n">
        <f aca="false">EOMONTH('Property Info'!$B$7,A57-1)</f>
        <v>47848</v>
      </c>
      <c r="C57" s="19" t="n">
        <f aca="false">E56</f>
        <v>0</v>
      </c>
      <c r="D57" s="19" t="n">
        <f aca="false">MIN('Market Assumptions'!$B$6,C57)</f>
        <v>0</v>
      </c>
      <c r="E57" s="19" t="n">
        <f aca="false">MAX(C57-D57,0)</f>
        <v>0</v>
      </c>
      <c r="F57" s="20" t="n">
        <f aca="false">'Market Assumptions'!$B$4*(1+'Market Assumptions'!$B$5/12)^(A57-1)</f>
        <v>0</v>
      </c>
      <c r="G57" s="20" t="n">
        <f aca="false">D57*F57</f>
        <v>0</v>
      </c>
      <c r="H57" s="5"/>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row>
    <row r="58" customFormat="false" ht="15" hidden="false" customHeight="true" outlineLevel="0" collapsed="false">
      <c r="A58" s="3" t="n">
        <v>55</v>
      </c>
      <c r="B58" s="18" t="n">
        <f aca="false">EOMONTH('Property Info'!$B$7,A58-1)</f>
        <v>47879</v>
      </c>
      <c r="C58" s="19" t="n">
        <f aca="false">E57</f>
        <v>0</v>
      </c>
      <c r="D58" s="19" t="n">
        <f aca="false">MIN('Market Assumptions'!$B$6,C58)</f>
        <v>0</v>
      </c>
      <c r="E58" s="19" t="n">
        <f aca="false">MAX(C58-D58,0)</f>
        <v>0</v>
      </c>
      <c r="F58" s="20" t="n">
        <f aca="false">'Market Assumptions'!$B$4*(1+'Market Assumptions'!$B$5/12)^(A58-1)</f>
        <v>0</v>
      </c>
      <c r="G58" s="20" t="n">
        <f aca="false">D58*F58</f>
        <v>0</v>
      </c>
      <c r="H58" s="5"/>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row>
    <row r="59" customFormat="false" ht="15" hidden="false" customHeight="true" outlineLevel="0" collapsed="false">
      <c r="A59" s="3" t="n">
        <v>56</v>
      </c>
      <c r="B59" s="18" t="n">
        <f aca="false">EOMONTH('Property Info'!$B$7,A59-1)</f>
        <v>47907</v>
      </c>
      <c r="C59" s="19" t="n">
        <f aca="false">E58</f>
        <v>0</v>
      </c>
      <c r="D59" s="19" t="n">
        <f aca="false">MIN('Market Assumptions'!$B$6,C59)</f>
        <v>0</v>
      </c>
      <c r="E59" s="19" t="n">
        <f aca="false">MAX(C59-D59,0)</f>
        <v>0</v>
      </c>
      <c r="F59" s="20" t="n">
        <f aca="false">'Market Assumptions'!$B$4*(1+'Market Assumptions'!$B$5/12)^(A59-1)</f>
        <v>0</v>
      </c>
      <c r="G59" s="20" t="n">
        <f aca="false">D59*F59</f>
        <v>0</v>
      </c>
      <c r="H59" s="5"/>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row>
    <row r="60" customFormat="false" ht="15" hidden="false" customHeight="true" outlineLevel="0" collapsed="false">
      <c r="A60" s="3" t="n">
        <v>57</v>
      </c>
      <c r="B60" s="18" t="n">
        <f aca="false">EOMONTH('Property Info'!$B$7,A60-1)</f>
        <v>47938</v>
      </c>
      <c r="C60" s="19" t="n">
        <f aca="false">E59</f>
        <v>0</v>
      </c>
      <c r="D60" s="19" t="n">
        <f aca="false">MIN('Market Assumptions'!$B$6,C60)</f>
        <v>0</v>
      </c>
      <c r="E60" s="19" t="n">
        <f aca="false">MAX(C60-D60,0)</f>
        <v>0</v>
      </c>
      <c r="F60" s="20" t="n">
        <f aca="false">'Market Assumptions'!$B$4*(1+'Market Assumptions'!$B$5/12)^(A60-1)</f>
        <v>0</v>
      </c>
      <c r="G60" s="20" t="n">
        <f aca="false">D60*F60</f>
        <v>0</v>
      </c>
      <c r="H60" s="5"/>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row>
    <row r="61" customFormat="false" ht="15" hidden="false" customHeight="true" outlineLevel="0" collapsed="false">
      <c r="A61" s="3" t="n">
        <v>58</v>
      </c>
      <c r="B61" s="18" t="n">
        <f aca="false">EOMONTH('Property Info'!$B$7,A61-1)</f>
        <v>47968</v>
      </c>
      <c r="C61" s="19" t="n">
        <f aca="false">E60</f>
        <v>0</v>
      </c>
      <c r="D61" s="19" t="n">
        <f aca="false">MIN('Market Assumptions'!$B$6,C61)</f>
        <v>0</v>
      </c>
      <c r="E61" s="19" t="n">
        <f aca="false">MAX(C61-D61,0)</f>
        <v>0</v>
      </c>
      <c r="F61" s="20" t="n">
        <f aca="false">'Market Assumptions'!$B$4*(1+'Market Assumptions'!$B$5/12)^(A61-1)</f>
        <v>0</v>
      </c>
      <c r="G61" s="20" t="n">
        <f aca="false">D61*F61</f>
        <v>0</v>
      </c>
      <c r="H61" s="5"/>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row>
    <row r="62" customFormat="false" ht="15" hidden="false" customHeight="true" outlineLevel="0" collapsed="false">
      <c r="A62" s="3" t="n">
        <v>59</v>
      </c>
      <c r="B62" s="18" t="n">
        <f aca="false">EOMONTH('Property Info'!$B$7,A62-1)</f>
        <v>47999</v>
      </c>
      <c r="C62" s="19" t="n">
        <f aca="false">E61</f>
        <v>0</v>
      </c>
      <c r="D62" s="19" t="n">
        <f aca="false">MIN('Market Assumptions'!$B$6,C62)</f>
        <v>0</v>
      </c>
      <c r="E62" s="19" t="n">
        <f aca="false">MAX(C62-D62,0)</f>
        <v>0</v>
      </c>
      <c r="F62" s="20" t="n">
        <f aca="false">'Market Assumptions'!$B$4*(1+'Market Assumptions'!$B$5/12)^(A62-1)</f>
        <v>0</v>
      </c>
      <c r="G62" s="20" t="n">
        <f aca="false">D62*F62</f>
        <v>0</v>
      </c>
      <c r="H62" s="5"/>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row>
    <row r="63" customFormat="false" ht="15" hidden="false" customHeight="true" outlineLevel="0" collapsed="false">
      <c r="A63" s="3" t="n">
        <v>60</v>
      </c>
      <c r="B63" s="18" t="n">
        <f aca="false">EOMONTH('Property Info'!$B$7,A63-1)</f>
        <v>48029</v>
      </c>
      <c r="C63" s="19" t="n">
        <f aca="false">E62</f>
        <v>0</v>
      </c>
      <c r="D63" s="19" t="n">
        <f aca="false">MIN('Market Assumptions'!$B$6,C63)</f>
        <v>0</v>
      </c>
      <c r="E63" s="19" t="n">
        <f aca="false">MAX(C63-D63,0)</f>
        <v>0</v>
      </c>
      <c r="F63" s="20" t="n">
        <f aca="false">'Market Assumptions'!$B$4*(1+'Market Assumptions'!$B$5/12)^(A63-1)</f>
        <v>0</v>
      </c>
      <c r="G63" s="20" t="n">
        <f aca="false">D63*F63</f>
        <v>0</v>
      </c>
      <c r="H63" s="5"/>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row>
    <row r="64" customFormat="false" ht="15" hidden="false" customHeight="true" outlineLevel="0" collapsed="false">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row>
    <row r="65" customFormat="false" ht="15" hidden="false" customHeight="true" outlineLevel="0" collapsed="false">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row>
    <row r="66" customFormat="false" ht="15" hidden="false" customHeight="true" outlineLevel="0" collapsed="false">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row>
    <row r="67" customFormat="false" ht="15" hidden="false" customHeight="true" outlineLevel="0" collapsed="false">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row>
    <row r="68" customFormat="false" ht="15" hidden="false" customHeight="true" outlineLevel="0" collapsed="false">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row>
    <row r="69" customFormat="false" ht="15" hidden="false" customHeight="true" outlineLevel="0" collapsed="false">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row>
    <row r="70" customFormat="false" ht="15" hidden="false" customHeight="true" outlineLevel="0" collapsed="false">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row>
    <row r="71" customFormat="false" ht="15" hidden="false" customHeight="true" outlineLevel="0" collapsed="false">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row>
    <row r="72" customFormat="false" ht="15" hidden="false" customHeight="true" outlineLevel="0" collapsed="false">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row>
    <row r="73" customFormat="false" ht="15" hidden="false" customHeight="true" outlineLevel="0" collapsed="false">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row>
    <row r="74" customFormat="false" ht="15" hidden="false" customHeight="true" outlineLevel="0" collapsed="false">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row>
    <row r="75" customFormat="false" ht="15" hidden="false" customHeight="true" outlineLevel="0" collapsed="false">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row>
    <row r="76" customFormat="false" ht="15" hidden="false" customHeight="true" outlineLevel="0" collapsed="false">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row>
    <row r="77" customFormat="false" ht="15" hidden="false" customHeight="true" outlineLevel="0" collapsed="false">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row>
    <row r="78" customFormat="false" ht="15" hidden="false" customHeight="true" outlineLevel="0" collapsed="false">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row>
    <row r="79" customFormat="false" ht="15" hidden="false" customHeight="true" outlineLevel="0" collapsed="false">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row>
    <row r="80" customFormat="false" ht="15" hidden="false" customHeight="true" outlineLevel="0" collapsed="false">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row>
    <row r="81" customFormat="false" ht="15" hidden="false" customHeight="true" outlineLevel="0" collapsed="false">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row>
    <row r="82" customFormat="false" ht="15" hidden="false" customHeight="true" outlineLevel="0" collapsed="false">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row>
    <row r="83" customFormat="false" ht="15" hidden="false" customHeight="true" outlineLevel="0" collapsed="false">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row>
    <row r="84" customFormat="false" ht="15" hidden="false" customHeight="true" outlineLevel="0" collapsed="false">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row>
    <row r="85" customFormat="false" ht="15" hidden="false" customHeight="true" outlineLevel="0" collapsed="false">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row>
    <row r="86" customFormat="false" ht="15" hidden="false" customHeight="true" outlineLevel="0" collapsed="false">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row>
    <row r="87" customFormat="false" ht="15" hidden="false" customHeight="true" outlineLevel="0" collapsed="false">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row>
    <row r="88" customFormat="false" ht="15" hidden="false" customHeight="true" outlineLevel="0" collapsed="false">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row>
    <row r="89" customFormat="false" ht="15" hidden="false" customHeight="true" outlineLevel="0" collapsed="false">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row>
    <row r="90" customFormat="false" ht="15" hidden="false" customHeight="true" outlineLevel="0" collapsed="false">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row>
    <row r="91" customFormat="false" ht="15" hidden="false" customHeight="true" outlineLevel="0" collapsed="false">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row>
    <row r="92" customFormat="false" ht="15" hidden="false" customHeight="true" outlineLevel="0" collapsed="false">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row>
    <row r="93" customFormat="false" ht="15" hidden="false" customHeight="true" outlineLevel="0" collapsed="false">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row>
    <row r="94" customFormat="false" ht="15" hidden="false" customHeight="true" outlineLevel="0" collapsed="false">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row>
    <row r="95" customFormat="false" ht="15" hidden="false" customHeight="true" outlineLevel="0" collapsed="false">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row>
    <row r="96" customFormat="false" ht="15" hidden="false" customHeight="true" outlineLevel="0" collapsed="false">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row>
    <row r="97" customFormat="false" ht="15" hidden="false" customHeight="true" outlineLevel="0" collapsed="false">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row>
    <row r="98" customFormat="false" ht="15" hidden="false" customHeight="true" outlineLevel="0" collapsed="false">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row>
    <row r="99" customFormat="false" ht="15" hidden="false" customHeight="true" outlineLevel="0" collapsed="false">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row>
    <row r="100" customFormat="false" ht="15" hidden="false" customHeight="true" outlineLevel="0" collapsed="false">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row>
  </sheetData>
  <mergeCells count="1">
    <mergeCell ref="A1:H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I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61" min="2" style="1" width="11"/>
  </cols>
  <sheetData>
    <row r="1" customFormat="false" ht="30" hidden="false" customHeight="true" outlineLevel="0" collapsed="false">
      <c r="A1" s="2" t="s">
        <v>163</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2"/>
    </row>
    <row r="2" customFormat="false" ht="15" hidden="false" customHeight="true" outlineLevel="0" collapsed="false">
      <c r="A2" s="3"/>
      <c r="B2" s="3"/>
      <c r="C2" s="3"/>
      <c r="D2" s="3"/>
      <c r="E2" s="3"/>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row>
    <row r="3" customFormat="false" ht="15" hidden="false" customHeight="true" outlineLevel="0" collapsed="false">
      <c r="A3" s="9" t="s">
        <v>164</v>
      </c>
      <c r="B3" s="9" t="n">
        <v>1</v>
      </c>
      <c r="C3" s="9" t="n">
        <v>2</v>
      </c>
      <c r="D3" s="9" t="n">
        <v>3</v>
      </c>
      <c r="E3" s="9" t="n">
        <v>4</v>
      </c>
      <c r="F3" s="9" t="n">
        <v>5</v>
      </c>
      <c r="G3" s="9" t="n">
        <v>6</v>
      </c>
      <c r="H3" s="9" t="n">
        <v>7</v>
      </c>
      <c r="I3" s="9" t="n">
        <v>8</v>
      </c>
      <c r="J3" s="9" t="n">
        <v>9</v>
      </c>
      <c r="K3" s="9" t="n">
        <v>10</v>
      </c>
      <c r="L3" s="9" t="n">
        <v>11</v>
      </c>
      <c r="M3" s="9" t="n">
        <v>12</v>
      </c>
      <c r="N3" s="9" t="n">
        <v>13</v>
      </c>
      <c r="O3" s="9" t="n">
        <v>14</v>
      </c>
      <c r="P3" s="9" t="n">
        <v>15</v>
      </c>
      <c r="Q3" s="9" t="n">
        <v>16</v>
      </c>
      <c r="R3" s="9" t="n">
        <v>17</v>
      </c>
      <c r="S3" s="9" t="n">
        <v>18</v>
      </c>
      <c r="T3" s="9" t="n">
        <v>19</v>
      </c>
      <c r="U3" s="9" t="n">
        <v>20</v>
      </c>
      <c r="V3" s="9" t="n">
        <v>21</v>
      </c>
      <c r="W3" s="9" t="n">
        <v>22</v>
      </c>
      <c r="X3" s="9" t="n">
        <v>23</v>
      </c>
      <c r="Y3" s="9" t="n">
        <v>24</v>
      </c>
      <c r="Z3" s="9" t="n">
        <v>25</v>
      </c>
      <c r="AA3" s="9" t="n">
        <v>26</v>
      </c>
      <c r="AB3" s="9" t="n">
        <v>27</v>
      </c>
      <c r="AC3" s="9" t="n">
        <v>28</v>
      </c>
      <c r="AD3" s="9" t="n">
        <v>29</v>
      </c>
      <c r="AE3" s="9" t="n">
        <v>30</v>
      </c>
      <c r="AF3" s="9" t="n">
        <v>31</v>
      </c>
      <c r="AG3" s="9" t="n">
        <v>32</v>
      </c>
      <c r="AH3" s="9" t="n">
        <v>33</v>
      </c>
      <c r="AI3" s="9" t="n">
        <v>34</v>
      </c>
      <c r="AJ3" s="9" t="n">
        <v>35</v>
      </c>
      <c r="AK3" s="9" t="n">
        <v>36</v>
      </c>
      <c r="AL3" s="9" t="n">
        <v>37</v>
      </c>
      <c r="AM3" s="9" t="n">
        <v>38</v>
      </c>
      <c r="AN3" s="9" t="n">
        <v>39</v>
      </c>
      <c r="AO3" s="9" t="n">
        <v>40</v>
      </c>
      <c r="AP3" s="9" t="n">
        <v>41</v>
      </c>
      <c r="AQ3" s="9" t="n">
        <v>42</v>
      </c>
      <c r="AR3" s="9" t="n">
        <v>43</v>
      </c>
      <c r="AS3" s="9" t="n">
        <v>44</v>
      </c>
      <c r="AT3" s="9" t="n">
        <v>45</v>
      </c>
      <c r="AU3" s="9" t="n">
        <v>46</v>
      </c>
      <c r="AV3" s="9" t="n">
        <v>47</v>
      </c>
      <c r="AW3" s="9" t="n">
        <v>48</v>
      </c>
      <c r="AX3" s="9" t="n">
        <v>49</v>
      </c>
      <c r="AY3" s="9" t="n">
        <v>50</v>
      </c>
      <c r="AZ3" s="9" t="n">
        <v>51</v>
      </c>
      <c r="BA3" s="9" t="n">
        <v>52</v>
      </c>
      <c r="BB3" s="9" t="n">
        <v>53</v>
      </c>
      <c r="BC3" s="9" t="n">
        <v>54</v>
      </c>
      <c r="BD3" s="9" t="n">
        <v>55</v>
      </c>
      <c r="BE3" s="9" t="n">
        <v>56</v>
      </c>
      <c r="BF3" s="9" t="n">
        <v>57</v>
      </c>
      <c r="BG3" s="9" t="n">
        <v>58</v>
      </c>
      <c r="BH3" s="9" t="n">
        <v>59</v>
      </c>
      <c r="BI3" s="9" t="n">
        <v>60</v>
      </c>
    </row>
    <row r="4" customFormat="false" ht="15" hidden="false" customHeight="true" outlineLevel="0" collapsed="false">
      <c r="A4" s="21" t="s">
        <v>161</v>
      </c>
      <c r="B4" s="20" t="n">
        <f aca="false">'Absorption Schedule'!G4</f>
        <v>0</v>
      </c>
      <c r="C4" s="20" t="n">
        <f aca="false">'Absorption Schedule'!G5</f>
        <v>0</v>
      </c>
      <c r="D4" s="20" t="n">
        <f aca="false">'Absorption Schedule'!G6</f>
        <v>0</v>
      </c>
      <c r="E4" s="20" t="n">
        <f aca="false">'Absorption Schedule'!G7</f>
        <v>0</v>
      </c>
      <c r="F4" s="20" t="n">
        <f aca="false">'Absorption Schedule'!G8</f>
        <v>0</v>
      </c>
      <c r="G4" s="20" t="n">
        <f aca="false">'Absorption Schedule'!G9</f>
        <v>0</v>
      </c>
      <c r="H4" s="20" t="n">
        <f aca="false">'Absorption Schedule'!G10</f>
        <v>0</v>
      </c>
      <c r="I4" s="20" t="n">
        <f aca="false">'Absorption Schedule'!G11</f>
        <v>0</v>
      </c>
      <c r="J4" s="20" t="n">
        <f aca="false">'Absorption Schedule'!G12</f>
        <v>0</v>
      </c>
      <c r="K4" s="20" t="n">
        <f aca="false">'Absorption Schedule'!G13</f>
        <v>0</v>
      </c>
      <c r="L4" s="20" t="n">
        <f aca="false">'Absorption Schedule'!G14</f>
        <v>0</v>
      </c>
      <c r="M4" s="20" t="n">
        <f aca="false">'Absorption Schedule'!G15</f>
        <v>0</v>
      </c>
      <c r="N4" s="20" t="n">
        <f aca="false">'Absorption Schedule'!G16</f>
        <v>0</v>
      </c>
      <c r="O4" s="20" t="n">
        <f aca="false">'Absorption Schedule'!G17</f>
        <v>0</v>
      </c>
      <c r="P4" s="20" t="n">
        <f aca="false">'Absorption Schedule'!G18</f>
        <v>0</v>
      </c>
      <c r="Q4" s="20" t="n">
        <f aca="false">'Absorption Schedule'!G19</f>
        <v>0</v>
      </c>
      <c r="R4" s="20" t="n">
        <f aca="false">'Absorption Schedule'!G20</f>
        <v>0</v>
      </c>
      <c r="S4" s="20" t="n">
        <f aca="false">'Absorption Schedule'!G21</f>
        <v>0</v>
      </c>
      <c r="T4" s="20" t="n">
        <f aca="false">'Absorption Schedule'!G22</f>
        <v>0</v>
      </c>
      <c r="U4" s="20" t="n">
        <f aca="false">'Absorption Schedule'!G23</f>
        <v>0</v>
      </c>
      <c r="V4" s="20" t="n">
        <f aca="false">'Absorption Schedule'!G24</f>
        <v>0</v>
      </c>
      <c r="W4" s="20" t="n">
        <f aca="false">'Absorption Schedule'!G25</f>
        <v>0</v>
      </c>
      <c r="X4" s="20" t="n">
        <f aca="false">'Absorption Schedule'!G26</f>
        <v>0</v>
      </c>
      <c r="Y4" s="20" t="n">
        <f aca="false">'Absorption Schedule'!G27</f>
        <v>0</v>
      </c>
      <c r="Z4" s="20" t="n">
        <f aca="false">'Absorption Schedule'!G28</f>
        <v>0</v>
      </c>
      <c r="AA4" s="20" t="n">
        <f aca="false">'Absorption Schedule'!G29</f>
        <v>0</v>
      </c>
      <c r="AB4" s="20" t="n">
        <f aca="false">'Absorption Schedule'!G30</f>
        <v>0</v>
      </c>
      <c r="AC4" s="20" t="n">
        <f aca="false">'Absorption Schedule'!G31</f>
        <v>0</v>
      </c>
      <c r="AD4" s="20" t="n">
        <f aca="false">'Absorption Schedule'!G32</f>
        <v>0</v>
      </c>
      <c r="AE4" s="20" t="n">
        <f aca="false">'Absorption Schedule'!G33</f>
        <v>0</v>
      </c>
      <c r="AF4" s="20" t="n">
        <f aca="false">'Absorption Schedule'!G34</f>
        <v>0</v>
      </c>
      <c r="AG4" s="20" t="n">
        <f aca="false">'Absorption Schedule'!G35</f>
        <v>0</v>
      </c>
      <c r="AH4" s="20" t="n">
        <f aca="false">'Absorption Schedule'!G36</f>
        <v>0</v>
      </c>
      <c r="AI4" s="20" t="n">
        <f aca="false">'Absorption Schedule'!G37</f>
        <v>0</v>
      </c>
      <c r="AJ4" s="20" t="n">
        <f aca="false">'Absorption Schedule'!G38</f>
        <v>0</v>
      </c>
      <c r="AK4" s="20" t="n">
        <f aca="false">'Absorption Schedule'!G39</f>
        <v>0</v>
      </c>
      <c r="AL4" s="20" t="n">
        <f aca="false">'Absorption Schedule'!G40</f>
        <v>0</v>
      </c>
      <c r="AM4" s="20" t="n">
        <f aca="false">'Absorption Schedule'!G41</f>
        <v>0</v>
      </c>
      <c r="AN4" s="20" t="n">
        <f aca="false">'Absorption Schedule'!G42</f>
        <v>0</v>
      </c>
      <c r="AO4" s="20" t="n">
        <f aca="false">'Absorption Schedule'!G43</f>
        <v>0</v>
      </c>
      <c r="AP4" s="20" t="n">
        <f aca="false">'Absorption Schedule'!G44</f>
        <v>0</v>
      </c>
      <c r="AQ4" s="20" t="n">
        <f aca="false">'Absorption Schedule'!G45</f>
        <v>0</v>
      </c>
      <c r="AR4" s="20" t="n">
        <f aca="false">'Absorption Schedule'!G46</f>
        <v>0</v>
      </c>
      <c r="AS4" s="20" t="n">
        <f aca="false">'Absorption Schedule'!G47</f>
        <v>0</v>
      </c>
      <c r="AT4" s="20" t="n">
        <f aca="false">'Absorption Schedule'!G48</f>
        <v>0</v>
      </c>
      <c r="AU4" s="20" t="n">
        <f aca="false">'Absorption Schedule'!G49</f>
        <v>0</v>
      </c>
      <c r="AV4" s="20" t="n">
        <f aca="false">'Absorption Schedule'!G50</f>
        <v>0</v>
      </c>
      <c r="AW4" s="20" t="n">
        <f aca="false">'Absorption Schedule'!G51</f>
        <v>0</v>
      </c>
      <c r="AX4" s="20" t="n">
        <f aca="false">'Absorption Schedule'!G52</f>
        <v>0</v>
      </c>
      <c r="AY4" s="20" t="n">
        <f aca="false">'Absorption Schedule'!G53</f>
        <v>0</v>
      </c>
      <c r="AZ4" s="20" t="n">
        <f aca="false">'Absorption Schedule'!G54</f>
        <v>0</v>
      </c>
      <c r="BA4" s="20" t="n">
        <f aca="false">'Absorption Schedule'!G55</f>
        <v>0</v>
      </c>
      <c r="BB4" s="20" t="n">
        <f aca="false">'Absorption Schedule'!G56</f>
        <v>0</v>
      </c>
      <c r="BC4" s="20" t="n">
        <f aca="false">'Absorption Schedule'!G57</f>
        <v>0</v>
      </c>
      <c r="BD4" s="20" t="n">
        <f aca="false">'Absorption Schedule'!G58</f>
        <v>0</v>
      </c>
      <c r="BE4" s="20" t="n">
        <f aca="false">'Absorption Schedule'!G59</f>
        <v>0</v>
      </c>
      <c r="BF4" s="20" t="n">
        <f aca="false">'Absorption Schedule'!G60</f>
        <v>0</v>
      </c>
      <c r="BG4" s="20" t="n">
        <f aca="false">'Absorption Schedule'!G61</f>
        <v>0</v>
      </c>
      <c r="BH4" s="20" t="n">
        <f aca="false">'Absorption Schedule'!G62</f>
        <v>0</v>
      </c>
      <c r="BI4" s="20" t="n">
        <f aca="false">'Absorption Schedule'!G63</f>
        <v>0</v>
      </c>
    </row>
    <row r="5" customFormat="false" ht="15" hidden="false" customHeight="true" outlineLevel="0" collapsed="false">
      <c r="A5" s="21" t="s">
        <v>103</v>
      </c>
      <c r="B5" s="20" t="n">
        <f aca="false">IF(B$3&lt;='Market Assumptions'!$B$10,'Development Costs'!$B$14/'Market Assumptions'!$B$10,0)</f>
        <v>0</v>
      </c>
      <c r="C5" s="20" t="n">
        <f aca="false">IF(C$3&lt;='Market Assumptions'!$B$10,'Development Costs'!$B$14/'Market Assumptions'!$B$10,0)</f>
        <v>0</v>
      </c>
      <c r="D5" s="20" t="n">
        <f aca="false">IF(D$3&lt;='Market Assumptions'!$B$10,'Development Costs'!$B$14/'Market Assumptions'!$B$10,0)</f>
        <v>0</v>
      </c>
      <c r="E5" s="20" t="n">
        <f aca="false">IF(E$3&lt;='Market Assumptions'!$B$10,'Development Costs'!$B$14/'Market Assumptions'!$B$10,0)</f>
        <v>0</v>
      </c>
      <c r="F5" s="20" t="n">
        <f aca="false">IF(F$3&lt;='Market Assumptions'!$B$10,'Development Costs'!$B$14/'Market Assumptions'!$B$10,0)</f>
        <v>0</v>
      </c>
      <c r="G5" s="20" t="n">
        <f aca="false">IF(G$3&lt;='Market Assumptions'!$B$10,'Development Costs'!$B$14/'Market Assumptions'!$B$10,0)</f>
        <v>0</v>
      </c>
      <c r="H5" s="20" t="n">
        <f aca="false">IF(H$3&lt;='Market Assumptions'!$B$10,'Development Costs'!$B$14/'Market Assumptions'!$B$10,0)</f>
        <v>0</v>
      </c>
      <c r="I5" s="20" t="n">
        <f aca="false">IF(I$3&lt;='Market Assumptions'!$B$10,'Development Costs'!$B$14/'Market Assumptions'!$B$10,0)</f>
        <v>0</v>
      </c>
      <c r="J5" s="20" t="n">
        <f aca="false">IF(J$3&lt;='Market Assumptions'!$B$10,'Development Costs'!$B$14/'Market Assumptions'!$B$10,0)</f>
        <v>0</v>
      </c>
      <c r="K5" s="20" t="n">
        <f aca="false">IF(K$3&lt;='Market Assumptions'!$B$10,'Development Costs'!$B$14/'Market Assumptions'!$B$10,0)</f>
        <v>0</v>
      </c>
      <c r="L5" s="20" t="n">
        <f aca="false">IF(L$3&lt;='Market Assumptions'!$B$10,'Development Costs'!$B$14/'Market Assumptions'!$B$10,0)</f>
        <v>0</v>
      </c>
      <c r="M5" s="20" t="n">
        <f aca="false">IF(M$3&lt;='Market Assumptions'!$B$10,'Development Costs'!$B$14/'Market Assumptions'!$B$10,0)</f>
        <v>0</v>
      </c>
      <c r="N5" s="20" t="n">
        <f aca="false">IF(N$3&lt;='Market Assumptions'!$B$10,'Development Costs'!$B$14/'Market Assumptions'!$B$10,0)</f>
        <v>0</v>
      </c>
      <c r="O5" s="20" t="n">
        <f aca="false">IF(O$3&lt;='Market Assumptions'!$B$10,'Development Costs'!$B$14/'Market Assumptions'!$B$10,0)</f>
        <v>0</v>
      </c>
      <c r="P5" s="20" t="n">
        <f aca="false">IF(P$3&lt;='Market Assumptions'!$B$10,'Development Costs'!$B$14/'Market Assumptions'!$B$10,0)</f>
        <v>0</v>
      </c>
      <c r="Q5" s="20" t="n">
        <f aca="false">IF(Q$3&lt;='Market Assumptions'!$B$10,'Development Costs'!$B$14/'Market Assumptions'!$B$10,0)</f>
        <v>0</v>
      </c>
      <c r="R5" s="20" t="n">
        <f aca="false">IF(R$3&lt;='Market Assumptions'!$B$10,'Development Costs'!$B$14/'Market Assumptions'!$B$10,0)</f>
        <v>0</v>
      </c>
      <c r="S5" s="20" t="n">
        <f aca="false">IF(S$3&lt;='Market Assumptions'!$B$10,'Development Costs'!$B$14/'Market Assumptions'!$B$10,0)</f>
        <v>0</v>
      </c>
      <c r="T5" s="20" t="n">
        <f aca="false">IF(T$3&lt;='Market Assumptions'!$B$10,'Development Costs'!$B$14/'Market Assumptions'!$B$10,0)</f>
        <v>0</v>
      </c>
      <c r="U5" s="20" t="n">
        <f aca="false">IF(U$3&lt;='Market Assumptions'!$B$10,'Development Costs'!$B$14/'Market Assumptions'!$B$10,0)</f>
        <v>0</v>
      </c>
      <c r="V5" s="20" t="n">
        <f aca="false">IF(V$3&lt;='Market Assumptions'!$B$10,'Development Costs'!$B$14/'Market Assumptions'!$B$10,0)</f>
        <v>0</v>
      </c>
      <c r="W5" s="20" t="n">
        <f aca="false">IF(W$3&lt;='Market Assumptions'!$B$10,'Development Costs'!$B$14/'Market Assumptions'!$B$10,0)</f>
        <v>0</v>
      </c>
      <c r="X5" s="20" t="n">
        <f aca="false">IF(X$3&lt;='Market Assumptions'!$B$10,'Development Costs'!$B$14/'Market Assumptions'!$B$10,0)</f>
        <v>0</v>
      </c>
      <c r="Y5" s="20" t="n">
        <f aca="false">IF(Y$3&lt;='Market Assumptions'!$B$10,'Development Costs'!$B$14/'Market Assumptions'!$B$10,0)</f>
        <v>0</v>
      </c>
      <c r="Z5" s="20" t="n">
        <f aca="false">IF(Z$3&lt;='Market Assumptions'!$B$10,'Development Costs'!$B$14/'Market Assumptions'!$B$10,0)</f>
        <v>0</v>
      </c>
      <c r="AA5" s="20" t="n">
        <f aca="false">IF(AA$3&lt;='Market Assumptions'!$B$10,'Development Costs'!$B$14/'Market Assumptions'!$B$10,0)</f>
        <v>0</v>
      </c>
      <c r="AB5" s="20" t="n">
        <f aca="false">IF(AB$3&lt;='Market Assumptions'!$B$10,'Development Costs'!$B$14/'Market Assumptions'!$B$10,0)</f>
        <v>0</v>
      </c>
      <c r="AC5" s="20" t="n">
        <f aca="false">IF(AC$3&lt;='Market Assumptions'!$B$10,'Development Costs'!$B$14/'Market Assumptions'!$B$10,0)</f>
        <v>0</v>
      </c>
      <c r="AD5" s="20" t="n">
        <f aca="false">IF(AD$3&lt;='Market Assumptions'!$B$10,'Development Costs'!$B$14/'Market Assumptions'!$B$10,0)</f>
        <v>0</v>
      </c>
      <c r="AE5" s="20" t="n">
        <f aca="false">IF(AE$3&lt;='Market Assumptions'!$B$10,'Development Costs'!$B$14/'Market Assumptions'!$B$10,0)</f>
        <v>0</v>
      </c>
      <c r="AF5" s="20" t="n">
        <f aca="false">IF(AF$3&lt;='Market Assumptions'!$B$10,'Development Costs'!$B$14/'Market Assumptions'!$B$10,0)</f>
        <v>0</v>
      </c>
      <c r="AG5" s="20" t="n">
        <f aca="false">IF(AG$3&lt;='Market Assumptions'!$B$10,'Development Costs'!$B$14/'Market Assumptions'!$B$10,0)</f>
        <v>0</v>
      </c>
      <c r="AH5" s="20" t="n">
        <f aca="false">IF(AH$3&lt;='Market Assumptions'!$B$10,'Development Costs'!$B$14/'Market Assumptions'!$B$10,0)</f>
        <v>0</v>
      </c>
      <c r="AI5" s="20" t="n">
        <f aca="false">IF(AI$3&lt;='Market Assumptions'!$B$10,'Development Costs'!$B$14/'Market Assumptions'!$B$10,0)</f>
        <v>0</v>
      </c>
      <c r="AJ5" s="20" t="n">
        <f aca="false">IF(AJ$3&lt;='Market Assumptions'!$B$10,'Development Costs'!$B$14/'Market Assumptions'!$B$10,0)</f>
        <v>0</v>
      </c>
      <c r="AK5" s="20" t="n">
        <f aca="false">IF(AK$3&lt;='Market Assumptions'!$B$10,'Development Costs'!$B$14/'Market Assumptions'!$B$10,0)</f>
        <v>0</v>
      </c>
      <c r="AL5" s="20" t="n">
        <f aca="false">IF(AL$3&lt;='Market Assumptions'!$B$10,'Development Costs'!$B$14/'Market Assumptions'!$B$10,0)</f>
        <v>0</v>
      </c>
      <c r="AM5" s="20" t="n">
        <f aca="false">IF(AM$3&lt;='Market Assumptions'!$B$10,'Development Costs'!$B$14/'Market Assumptions'!$B$10,0)</f>
        <v>0</v>
      </c>
      <c r="AN5" s="20" t="n">
        <f aca="false">IF(AN$3&lt;='Market Assumptions'!$B$10,'Development Costs'!$B$14/'Market Assumptions'!$B$10,0)</f>
        <v>0</v>
      </c>
      <c r="AO5" s="20" t="n">
        <f aca="false">IF(AO$3&lt;='Market Assumptions'!$B$10,'Development Costs'!$B$14/'Market Assumptions'!$B$10,0)</f>
        <v>0</v>
      </c>
      <c r="AP5" s="20" t="n">
        <f aca="false">IF(AP$3&lt;='Market Assumptions'!$B$10,'Development Costs'!$B$14/'Market Assumptions'!$B$10,0)</f>
        <v>0</v>
      </c>
      <c r="AQ5" s="20" t="n">
        <f aca="false">IF(AQ$3&lt;='Market Assumptions'!$B$10,'Development Costs'!$B$14/'Market Assumptions'!$B$10,0)</f>
        <v>0</v>
      </c>
      <c r="AR5" s="20" t="n">
        <f aca="false">IF(AR$3&lt;='Market Assumptions'!$B$10,'Development Costs'!$B$14/'Market Assumptions'!$B$10,0)</f>
        <v>0</v>
      </c>
      <c r="AS5" s="20" t="n">
        <f aca="false">IF(AS$3&lt;='Market Assumptions'!$B$10,'Development Costs'!$B$14/'Market Assumptions'!$B$10,0)</f>
        <v>0</v>
      </c>
      <c r="AT5" s="20" t="n">
        <f aca="false">IF(AT$3&lt;='Market Assumptions'!$B$10,'Development Costs'!$B$14/'Market Assumptions'!$B$10,0)</f>
        <v>0</v>
      </c>
      <c r="AU5" s="20" t="n">
        <f aca="false">IF(AU$3&lt;='Market Assumptions'!$B$10,'Development Costs'!$B$14/'Market Assumptions'!$B$10,0)</f>
        <v>0</v>
      </c>
      <c r="AV5" s="20" t="n">
        <f aca="false">IF(AV$3&lt;='Market Assumptions'!$B$10,'Development Costs'!$B$14/'Market Assumptions'!$B$10,0)</f>
        <v>0</v>
      </c>
      <c r="AW5" s="20" t="n">
        <f aca="false">IF(AW$3&lt;='Market Assumptions'!$B$10,'Development Costs'!$B$14/'Market Assumptions'!$B$10,0)</f>
        <v>0</v>
      </c>
      <c r="AX5" s="20" t="n">
        <f aca="false">IF(AX$3&lt;='Market Assumptions'!$B$10,'Development Costs'!$B$14/'Market Assumptions'!$B$10,0)</f>
        <v>0</v>
      </c>
      <c r="AY5" s="20" t="n">
        <f aca="false">IF(AY$3&lt;='Market Assumptions'!$B$10,'Development Costs'!$B$14/'Market Assumptions'!$B$10,0)</f>
        <v>0</v>
      </c>
      <c r="AZ5" s="20" t="n">
        <f aca="false">IF(AZ$3&lt;='Market Assumptions'!$B$10,'Development Costs'!$B$14/'Market Assumptions'!$B$10,0)</f>
        <v>0</v>
      </c>
      <c r="BA5" s="20" t="n">
        <f aca="false">IF(BA$3&lt;='Market Assumptions'!$B$10,'Development Costs'!$B$14/'Market Assumptions'!$B$10,0)</f>
        <v>0</v>
      </c>
      <c r="BB5" s="20" t="n">
        <f aca="false">IF(BB$3&lt;='Market Assumptions'!$B$10,'Development Costs'!$B$14/'Market Assumptions'!$B$10,0)</f>
        <v>0</v>
      </c>
      <c r="BC5" s="20" t="n">
        <f aca="false">IF(BC$3&lt;='Market Assumptions'!$B$10,'Development Costs'!$B$14/'Market Assumptions'!$B$10,0)</f>
        <v>0</v>
      </c>
      <c r="BD5" s="20" t="n">
        <f aca="false">IF(BD$3&lt;='Market Assumptions'!$B$10,'Development Costs'!$B$14/'Market Assumptions'!$B$10,0)</f>
        <v>0</v>
      </c>
      <c r="BE5" s="20" t="n">
        <f aca="false">IF(BE$3&lt;='Market Assumptions'!$B$10,'Development Costs'!$B$14/'Market Assumptions'!$B$10,0)</f>
        <v>0</v>
      </c>
      <c r="BF5" s="20" t="n">
        <f aca="false">IF(BF$3&lt;='Market Assumptions'!$B$10,'Development Costs'!$B$14/'Market Assumptions'!$B$10,0)</f>
        <v>0</v>
      </c>
      <c r="BG5" s="20" t="n">
        <f aca="false">IF(BG$3&lt;='Market Assumptions'!$B$10,'Development Costs'!$B$14/'Market Assumptions'!$B$10,0)</f>
        <v>0</v>
      </c>
      <c r="BH5" s="20" t="n">
        <f aca="false">IF(BH$3&lt;='Market Assumptions'!$B$10,'Development Costs'!$B$14/'Market Assumptions'!$B$10,0)</f>
        <v>0</v>
      </c>
      <c r="BI5" s="20" t="n">
        <f aca="false">IF(BI$3&lt;='Market Assumptions'!$B$10,'Development Costs'!$B$14/'Market Assumptions'!$B$10,0)</f>
        <v>0</v>
      </c>
    </row>
    <row r="6" customFormat="false" ht="15" hidden="false" customHeight="true" outlineLevel="0" collapsed="false">
      <c r="A6" s="21" t="s">
        <v>116</v>
      </c>
      <c r="B6" s="20" t="n">
        <f aca="false">IF(B$3&lt;='Market Assumptions'!$B$11,'Development Costs'!$B$26/'Market Assumptions'!$B$11,0)</f>
        <v>0</v>
      </c>
      <c r="C6" s="20" t="n">
        <f aca="false">IF(C$3&lt;='Market Assumptions'!$B$11,'Development Costs'!$B$26/'Market Assumptions'!$B$11,0)</f>
        <v>0</v>
      </c>
      <c r="D6" s="20" t="n">
        <f aca="false">IF(D$3&lt;='Market Assumptions'!$B$11,'Development Costs'!$B$26/'Market Assumptions'!$B$11,0)</f>
        <v>0</v>
      </c>
      <c r="E6" s="20" t="n">
        <f aca="false">IF(E$3&lt;='Market Assumptions'!$B$11,'Development Costs'!$B$26/'Market Assumptions'!$B$11,0)</f>
        <v>0</v>
      </c>
      <c r="F6" s="20" t="n">
        <f aca="false">IF(F$3&lt;='Market Assumptions'!$B$11,'Development Costs'!$B$26/'Market Assumptions'!$B$11,0)</f>
        <v>0</v>
      </c>
      <c r="G6" s="20" t="n">
        <f aca="false">IF(G$3&lt;='Market Assumptions'!$B$11,'Development Costs'!$B$26/'Market Assumptions'!$B$11,0)</f>
        <v>0</v>
      </c>
      <c r="H6" s="20" t="n">
        <f aca="false">IF(H$3&lt;='Market Assumptions'!$B$11,'Development Costs'!$B$26/'Market Assumptions'!$B$11,0)</f>
        <v>0</v>
      </c>
      <c r="I6" s="20" t="n">
        <f aca="false">IF(I$3&lt;='Market Assumptions'!$B$11,'Development Costs'!$B$26/'Market Assumptions'!$B$11,0)</f>
        <v>0</v>
      </c>
      <c r="J6" s="20" t="n">
        <f aca="false">IF(J$3&lt;='Market Assumptions'!$B$11,'Development Costs'!$B$26/'Market Assumptions'!$B$11,0)</f>
        <v>0</v>
      </c>
      <c r="K6" s="20" t="n">
        <f aca="false">IF(K$3&lt;='Market Assumptions'!$B$11,'Development Costs'!$B$26/'Market Assumptions'!$B$11,0)</f>
        <v>0</v>
      </c>
      <c r="L6" s="20" t="n">
        <f aca="false">IF(L$3&lt;='Market Assumptions'!$B$11,'Development Costs'!$B$26/'Market Assumptions'!$B$11,0)</f>
        <v>0</v>
      </c>
      <c r="M6" s="20" t="n">
        <f aca="false">IF(M$3&lt;='Market Assumptions'!$B$11,'Development Costs'!$B$26/'Market Assumptions'!$B$11,0)</f>
        <v>0</v>
      </c>
      <c r="N6" s="20" t="n">
        <f aca="false">IF(N$3&lt;='Market Assumptions'!$B$11,'Development Costs'!$B$26/'Market Assumptions'!$B$11,0)</f>
        <v>0</v>
      </c>
      <c r="O6" s="20" t="n">
        <f aca="false">IF(O$3&lt;='Market Assumptions'!$B$11,'Development Costs'!$B$26/'Market Assumptions'!$B$11,0)</f>
        <v>0</v>
      </c>
      <c r="P6" s="20" t="n">
        <f aca="false">IF(P$3&lt;='Market Assumptions'!$B$11,'Development Costs'!$B$26/'Market Assumptions'!$B$11,0)</f>
        <v>0</v>
      </c>
      <c r="Q6" s="20" t="n">
        <f aca="false">IF(Q$3&lt;='Market Assumptions'!$B$11,'Development Costs'!$B$26/'Market Assumptions'!$B$11,0)</f>
        <v>0</v>
      </c>
      <c r="R6" s="20" t="n">
        <f aca="false">IF(R$3&lt;='Market Assumptions'!$B$11,'Development Costs'!$B$26/'Market Assumptions'!$B$11,0)</f>
        <v>0</v>
      </c>
      <c r="S6" s="20" t="n">
        <f aca="false">IF(S$3&lt;='Market Assumptions'!$B$11,'Development Costs'!$B$26/'Market Assumptions'!$B$11,0)</f>
        <v>0</v>
      </c>
      <c r="T6" s="20" t="n">
        <f aca="false">IF(T$3&lt;='Market Assumptions'!$B$11,'Development Costs'!$B$26/'Market Assumptions'!$B$11,0)</f>
        <v>0</v>
      </c>
      <c r="U6" s="20" t="n">
        <f aca="false">IF(U$3&lt;='Market Assumptions'!$B$11,'Development Costs'!$B$26/'Market Assumptions'!$B$11,0)</f>
        <v>0</v>
      </c>
      <c r="V6" s="20" t="n">
        <f aca="false">IF(V$3&lt;='Market Assumptions'!$B$11,'Development Costs'!$B$26/'Market Assumptions'!$B$11,0)</f>
        <v>0</v>
      </c>
      <c r="W6" s="20" t="n">
        <f aca="false">IF(W$3&lt;='Market Assumptions'!$B$11,'Development Costs'!$B$26/'Market Assumptions'!$B$11,0)</f>
        <v>0</v>
      </c>
      <c r="X6" s="20" t="n">
        <f aca="false">IF(X$3&lt;='Market Assumptions'!$B$11,'Development Costs'!$B$26/'Market Assumptions'!$B$11,0)</f>
        <v>0</v>
      </c>
      <c r="Y6" s="20" t="n">
        <f aca="false">IF(Y$3&lt;='Market Assumptions'!$B$11,'Development Costs'!$B$26/'Market Assumptions'!$B$11,0)</f>
        <v>0</v>
      </c>
      <c r="Z6" s="20" t="n">
        <f aca="false">IF(Z$3&lt;='Market Assumptions'!$B$11,'Development Costs'!$B$26/'Market Assumptions'!$B$11,0)</f>
        <v>0</v>
      </c>
      <c r="AA6" s="20" t="n">
        <f aca="false">IF(AA$3&lt;='Market Assumptions'!$B$11,'Development Costs'!$B$26/'Market Assumptions'!$B$11,0)</f>
        <v>0</v>
      </c>
      <c r="AB6" s="20" t="n">
        <f aca="false">IF(AB$3&lt;='Market Assumptions'!$B$11,'Development Costs'!$B$26/'Market Assumptions'!$B$11,0)</f>
        <v>0</v>
      </c>
      <c r="AC6" s="20" t="n">
        <f aca="false">IF(AC$3&lt;='Market Assumptions'!$B$11,'Development Costs'!$B$26/'Market Assumptions'!$B$11,0)</f>
        <v>0</v>
      </c>
      <c r="AD6" s="20" t="n">
        <f aca="false">IF(AD$3&lt;='Market Assumptions'!$B$11,'Development Costs'!$B$26/'Market Assumptions'!$B$11,0)</f>
        <v>0</v>
      </c>
      <c r="AE6" s="20" t="n">
        <f aca="false">IF(AE$3&lt;='Market Assumptions'!$B$11,'Development Costs'!$B$26/'Market Assumptions'!$B$11,0)</f>
        <v>0</v>
      </c>
      <c r="AF6" s="20" t="n">
        <f aca="false">IF(AF$3&lt;='Market Assumptions'!$B$11,'Development Costs'!$B$26/'Market Assumptions'!$B$11,0)</f>
        <v>0</v>
      </c>
      <c r="AG6" s="20" t="n">
        <f aca="false">IF(AG$3&lt;='Market Assumptions'!$B$11,'Development Costs'!$B$26/'Market Assumptions'!$B$11,0)</f>
        <v>0</v>
      </c>
      <c r="AH6" s="20" t="n">
        <f aca="false">IF(AH$3&lt;='Market Assumptions'!$B$11,'Development Costs'!$B$26/'Market Assumptions'!$B$11,0)</f>
        <v>0</v>
      </c>
      <c r="AI6" s="20" t="n">
        <f aca="false">IF(AI$3&lt;='Market Assumptions'!$B$11,'Development Costs'!$B$26/'Market Assumptions'!$B$11,0)</f>
        <v>0</v>
      </c>
      <c r="AJ6" s="20" t="n">
        <f aca="false">IF(AJ$3&lt;='Market Assumptions'!$B$11,'Development Costs'!$B$26/'Market Assumptions'!$B$11,0)</f>
        <v>0</v>
      </c>
      <c r="AK6" s="20" t="n">
        <f aca="false">IF(AK$3&lt;='Market Assumptions'!$B$11,'Development Costs'!$B$26/'Market Assumptions'!$B$11,0)</f>
        <v>0</v>
      </c>
      <c r="AL6" s="20" t="n">
        <f aca="false">IF(AL$3&lt;='Market Assumptions'!$B$11,'Development Costs'!$B$26/'Market Assumptions'!$B$11,0)</f>
        <v>0</v>
      </c>
      <c r="AM6" s="20" t="n">
        <f aca="false">IF(AM$3&lt;='Market Assumptions'!$B$11,'Development Costs'!$B$26/'Market Assumptions'!$B$11,0)</f>
        <v>0</v>
      </c>
      <c r="AN6" s="20" t="n">
        <f aca="false">IF(AN$3&lt;='Market Assumptions'!$B$11,'Development Costs'!$B$26/'Market Assumptions'!$B$11,0)</f>
        <v>0</v>
      </c>
      <c r="AO6" s="20" t="n">
        <f aca="false">IF(AO$3&lt;='Market Assumptions'!$B$11,'Development Costs'!$B$26/'Market Assumptions'!$B$11,0)</f>
        <v>0</v>
      </c>
      <c r="AP6" s="20" t="n">
        <f aca="false">IF(AP$3&lt;='Market Assumptions'!$B$11,'Development Costs'!$B$26/'Market Assumptions'!$B$11,0)</f>
        <v>0</v>
      </c>
      <c r="AQ6" s="20" t="n">
        <f aca="false">IF(AQ$3&lt;='Market Assumptions'!$B$11,'Development Costs'!$B$26/'Market Assumptions'!$B$11,0)</f>
        <v>0</v>
      </c>
      <c r="AR6" s="20" t="n">
        <f aca="false">IF(AR$3&lt;='Market Assumptions'!$B$11,'Development Costs'!$B$26/'Market Assumptions'!$B$11,0)</f>
        <v>0</v>
      </c>
      <c r="AS6" s="20" t="n">
        <f aca="false">IF(AS$3&lt;='Market Assumptions'!$B$11,'Development Costs'!$B$26/'Market Assumptions'!$B$11,0)</f>
        <v>0</v>
      </c>
      <c r="AT6" s="20" t="n">
        <f aca="false">IF(AT$3&lt;='Market Assumptions'!$B$11,'Development Costs'!$B$26/'Market Assumptions'!$B$11,0)</f>
        <v>0</v>
      </c>
      <c r="AU6" s="20" t="n">
        <f aca="false">IF(AU$3&lt;='Market Assumptions'!$B$11,'Development Costs'!$B$26/'Market Assumptions'!$B$11,0)</f>
        <v>0</v>
      </c>
      <c r="AV6" s="20" t="n">
        <f aca="false">IF(AV$3&lt;='Market Assumptions'!$B$11,'Development Costs'!$B$26/'Market Assumptions'!$B$11,0)</f>
        <v>0</v>
      </c>
      <c r="AW6" s="20" t="n">
        <f aca="false">IF(AW$3&lt;='Market Assumptions'!$B$11,'Development Costs'!$B$26/'Market Assumptions'!$B$11,0)</f>
        <v>0</v>
      </c>
      <c r="AX6" s="20" t="n">
        <f aca="false">IF(AX$3&lt;='Market Assumptions'!$B$11,'Development Costs'!$B$26/'Market Assumptions'!$B$11,0)</f>
        <v>0</v>
      </c>
      <c r="AY6" s="20" t="n">
        <f aca="false">IF(AY$3&lt;='Market Assumptions'!$B$11,'Development Costs'!$B$26/'Market Assumptions'!$B$11,0)</f>
        <v>0</v>
      </c>
      <c r="AZ6" s="20" t="n">
        <f aca="false">IF(AZ$3&lt;='Market Assumptions'!$B$11,'Development Costs'!$B$26/'Market Assumptions'!$B$11,0)</f>
        <v>0</v>
      </c>
      <c r="BA6" s="20" t="n">
        <f aca="false">IF(BA$3&lt;='Market Assumptions'!$B$11,'Development Costs'!$B$26/'Market Assumptions'!$B$11,0)</f>
        <v>0</v>
      </c>
      <c r="BB6" s="20" t="n">
        <f aca="false">IF(BB$3&lt;='Market Assumptions'!$B$11,'Development Costs'!$B$26/'Market Assumptions'!$B$11,0)</f>
        <v>0</v>
      </c>
      <c r="BC6" s="20" t="n">
        <f aca="false">IF(BC$3&lt;='Market Assumptions'!$B$11,'Development Costs'!$B$26/'Market Assumptions'!$B$11,0)</f>
        <v>0</v>
      </c>
      <c r="BD6" s="20" t="n">
        <f aca="false">IF(BD$3&lt;='Market Assumptions'!$B$11,'Development Costs'!$B$26/'Market Assumptions'!$B$11,0)</f>
        <v>0</v>
      </c>
      <c r="BE6" s="20" t="n">
        <f aca="false">IF(BE$3&lt;='Market Assumptions'!$B$11,'Development Costs'!$B$26/'Market Assumptions'!$B$11,0)</f>
        <v>0</v>
      </c>
      <c r="BF6" s="20" t="n">
        <f aca="false">IF(BF$3&lt;='Market Assumptions'!$B$11,'Development Costs'!$B$26/'Market Assumptions'!$B$11,0)</f>
        <v>0</v>
      </c>
      <c r="BG6" s="20" t="n">
        <f aca="false">IF(BG$3&lt;='Market Assumptions'!$B$11,'Development Costs'!$B$26/'Market Assumptions'!$B$11,0)</f>
        <v>0</v>
      </c>
      <c r="BH6" s="20" t="n">
        <f aca="false">IF(BH$3&lt;='Market Assumptions'!$B$11,'Development Costs'!$B$26/'Market Assumptions'!$B$11,0)</f>
        <v>0</v>
      </c>
      <c r="BI6" s="20" t="n">
        <f aca="false">IF(BI$3&lt;='Market Assumptions'!$B$11,'Development Costs'!$B$26/'Market Assumptions'!$B$11,0)</f>
        <v>0</v>
      </c>
    </row>
    <row r="7" customFormat="false" ht="15" hidden="false" customHeight="true" outlineLevel="0" collapsed="false">
      <c r="A7" s="21" t="s">
        <v>165</v>
      </c>
      <c r="B7" s="20" t="n">
        <f aca="false">B4*'Market Assumptions'!$B$7</f>
        <v>0</v>
      </c>
      <c r="C7" s="20" t="n">
        <f aca="false">C4*'Market Assumptions'!$B$7</f>
        <v>0</v>
      </c>
      <c r="D7" s="20" t="n">
        <f aca="false">D4*'Market Assumptions'!$B$7</f>
        <v>0</v>
      </c>
      <c r="E7" s="20" t="n">
        <f aca="false">E4*'Market Assumptions'!$B$7</f>
        <v>0</v>
      </c>
      <c r="F7" s="20" t="n">
        <f aca="false">F4*'Market Assumptions'!$B$7</f>
        <v>0</v>
      </c>
      <c r="G7" s="20" t="n">
        <f aca="false">G4*'Market Assumptions'!$B$7</f>
        <v>0</v>
      </c>
      <c r="H7" s="20" t="n">
        <f aca="false">H4*'Market Assumptions'!$B$7</f>
        <v>0</v>
      </c>
      <c r="I7" s="20" t="n">
        <f aca="false">I4*'Market Assumptions'!$B$7</f>
        <v>0</v>
      </c>
      <c r="J7" s="20" t="n">
        <f aca="false">J4*'Market Assumptions'!$B$7</f>
        <v>0</v>
      </c>
      <c r="K7" s="20" t="n">
        <f aca="false">K4*'Market Assumptions'!$B$7</f>
        <v>0</v>
      </c>
      <c r="L7" s="20" t="n">
        <f aca="false">L4*'Market Assumptions'!$B$7</f>
        <v>0</v>
      </c>
      <c r="M7" s="20" t="n">
        <f aca="false">M4*'Market Assumptions'!$B$7</f>
        <v>0</v>
      </c>
      <c r="N7" s="20" t="n">
        <f aca="false">N4*'Market Assumptions'!$B$7</f>
        <v>0</v>
      </c>
      <c r="O7" s="20" t="n">
        <f aca="false">O4*'Market Assumptions'!$B$7</f>
        <v>0</v>
      </c>
      <c r="P7" s="20" t="n">
        <f aca="false">P4*'Market Assumptions'!$B$7</f>
        <v>0</v>
      </c>
      <c r="Q7" s="20" t="n">
        <f aca="false">Q4*'Market Assumptions'!$B$7</f>
        <v>0</v>
      </c>
      <c r="R7" s="20" t="n">
        <f aca="false">R4*'Market Assumptions'!$B$7</f>
        <v>0</v>
      </c>
      <c r="S7" s="20" t="n">
        <f aca="false">S4*'Market Assumptions'!$B$7</f>
        <v>0</v>
      </c>
      <c r="T7" s="20" t="n">
        <f aca="false">T4*'Market Assumptions'!$B$7</f>
        <v>0</v>
      </c>
      <c r="U7" s="20" t="n">
        <f aca="false">U4*'Market Assumptions'!$B$7</f>
        <v>0</v>
      </c>
      <c r="V7" s="20" t="n">
        <f aca="false">V4*'Market Assumptions'!$B$7</f>
        <v>0</v>
      </c>
      <c r="W7" s="20" t="n">
        <f aca="false">W4*'Market Assumptions'!$B$7</f>
        <v>0</v>
      </c>
      <c r="X7" s="20" t="n">
        <f aca="false">X4*'Market Assumptions'!$B$7</f>
        <v>0</v>
      </c>
      <c r="Y7" s="20" t="n">
        <f aca="false">Y4*'Market Assumptions'!$B$7</f>
        <v>0</v>
      </c>
      <c r="Z7" s="20" t="n">
        <f aca="false">Z4*'Market Assumptions'!$B$7</f>
        <v>0</v>
      </c>
      <c r="AA7" s="20" t="n">
        <f aca="false">AA4*'Market Assumptions'!$B$7</f>
        <v>0</v>
      </c>
      <c r="AB7" s="20" t="n">
        <f aca="false">AB4*'Market Assumptions'!$B$7</f>
        <v>0</v>
      </c>
      <c r="AC7" s="20" t="n">
        <f aca="false">AC4*'Market Assumptions'!$B$7</f>
        <v>0</v>
      </c>
      <c r="AD7" s="20" t="n">
        <f aca="false">AD4*'Market Assumptions'!$B$7</f>
        <v>0</v>
      </c>
      <c r="AE7" s="20" t="n">
        <f aca="false">AE4*'Market Assumptions'!$B$7</f>
        <v>0</v>
      </c>
      <c r="AF7" s="20" t="n">
        <f aca="false">AF4*'Market Assumptions'!$B$7</f>
        <v>0</v>
      </c>
      <c r="AG7" s="20" t="n">
        <f aca="false">AG4*'Market Assumptions'!$B$7</f>
        <v>0</v>
      </c>
      <c r="AH7" s="20" t="n">
        <f aca="false">AH4*'Market Assumptions'!$B$7</f>
        <v>0</v>
      </c>
      <c r="AI7" s="20" t="n">
        <f aca="false">AI4*'Market Assumptions'!$B$7</f>
        <v>0</v>
      </c>
      <c r="AJ7" s="20" t="n">
        <f aca="false">AJ4*'Market Assumptions'!$B$7</f>
        <v>0</v>
      </c>
      <c r="AK7" s="20" t="n">
        <f aca="false">AK4*'Market Assumptions'!$B$7</f>
        <v>0</v>
      </c>
      <c r="AL7" s="20" t="n">
        <f aca="false">AL4*'Market Assumptions'!$B$7</f>
        <v>0</v>
      </c>
      <c r="AM7" s="20" t="n">
        <f aca="false">AM4*'Market Assumptions'!$B$7</f>
        <v>0</v>
      </c>
      <c r="AN7" s="20" t="n">
        <f aca="false">AN4*'Market Assumptions'!$B$7</f>
        <v>0</v>
      </c>
      <c r="AO7" s="20" t="n">
        <f aca="false">AO4*'Market Assumptions'!$B$7</f>
        <v>0</v>
      </c>
      <c r="AP7" s="20" t="n">
        <f aca="false">AP4*'Market Assumptions'!$B$7</f>
        <v>0</v>
      </c>
      <c r="AQ7" s="20" t="n">
        <f aca="false">AQ4*'Market Assumptions'!$B$7</f>
        <v>0</v>
      </c>
      <c r="AR7" s="20" t="n">
        <f aca="false">AR4*'Market Assumptions'!$B$7</f>
        <v>0</v>
      </c>
      <c r="AS7" s="20" t="n">
        <f aca="false">AS4*'Market Assumptions'!$B$7</f>
        <v>0</v>
      </c>
      <c r="AT7" s="20" t="n">
        <f aca="false">AT4*'Market Assumptions'!$B$7</f>
        <v>0</v>
      </c>
      <c r="AU7" s="20" t="n">
        <f aca="false">AU4*'Market Assumptions'!$B$7</f>
        <v>0</v>
      </c>
      <c r="AV7" s="20" t="n">
        <f aca="false">AV4*'Market Assumptions'!$B$7</f>
        <v>0</v>
      </c>
      <c r="AW7" s="20" t="n">
        <f aca="false">AW4*'Market Assumptions'!$B$7</f>
        <v>0</v>
      </c>
      <c r="AX7" s="20" t="n">
        <f aca="false">AX4*'Market Assumptions'!$B$7</f>
        <v>0</v>
      </c>
      <c r="AY7" s="20" t="n">
        <f aca="false">AY4*'Market Assumptions'!$B$7</f>
        <v>0</v>
      </c>
      <c r="AZ7" s="20" t="n">
        <f aca="false">AZ4*'Market Assumptions'!$B$7</f>
        <v>0</v>
      </c>
      <c r="BA7" s="20" t="n">
        <f aca="false">BA4*'Market Assumptions'!$B$7</f>
        <v>0</v>
      </c>
      <c r="BB7" s="20" t="n">
        <f aca="false">BB4*'Market Assumptions'!$B$7</f>
        <v>0</v>
      </c>
      <c r="BC7" s="20" t="n">
        <f aca="false">BC4*'Market Assumptions'!$B$7</f>
        <v>0</v>
      </c>
      <c r="BD7" s="20" t="n">
        <f aca="false">BD4*'Market Assumptions'!$B$7</f>
        <v>0</v>
      </c>
      <c r="BE7" s="20" t="n">
        <f aca="false">BE4*'Market Assumptions'!$B$7</f>
        <v>0</v>
      </c>
      <c r="BF7" s="20" t="n">
        <f aca="false">BF4*'Market Assumptions'!$B$7</f>
        <v>0</v>
      </c>
      <c r="BG7" s="20" t="n">
        <f aca="false">BG4*'Market Assumptions'!$B$7</f>
        <v>0</v>
      </c>
      <c r="BH7" s="20" t="n">
        <f aca="false">BH4*'Market Assumptions'!$B$7</f>
        <v>0</v>
      </c>
      <c r="BI7" s="20" t="n">
        <f aca="false">BI4*'Market Assumptions'!$B$7</f>
        <v>0</v>
      </c>
    </row>
    <row r="8" customFormat="false" ht="15" hidden="false" customHeight="true" outlineLevel="0" collapsed="false">
      <c r="A8" s="21" t="s">
        <v>166</v>
      </c>
      <c r="B8" s="20" t="n">
        <f aca="false">IF('Absorption Schedule'!C4&gt;0,'Holding Costs'!$B$12,0)</f>
        <v>0</v>
      </c>
      <c r="C8" s="20" t="n">
        <f aca="false">IF('Absorption Schedule'!C5&gt;0,'Holding Costs'!$B$12,0)</f>
        <v>0</v>
      </c>
      <c r="D8" s="20" t="n">
        <f aca="false">IF('Absorption Schedule'!C6&gt;0,'Holding Costs'!$B$12,0)</f>
        <v>0</v>
      </c>
      <c r="E8" s="20" t="n">
        <f aca="false">IF('Absorption Schedule'!C7&gt;0,'Holding Costs'!$B$12,0)</f>
        <v>0</v>
      </c>
      <c r="F8" s="20" t="n">
        <f aca="false">IF('Absorption Schedule'!C8&gt;0,'Holding Costs'!$B$12,0)</f>
        <v>0</v>
      </c>
      <c r="G8" s="20" t="n">
        <f aca="false">IF('Absorption Schedule'!C9&gt;0,'Holding Costs'!$B$12,0)</f>
        <v>0</v>
      </c>
      <c r="H8" s="20" t="n">
        <f aca="false">IF('Absorption Schedule'!C10&gt;0,'Holding Costs'!$B$12,0)</f>
        <v>0</v>
      </c>
      <c r="I8" s="20" t="n">
        <f aca="false">IF('Absorption Schedule'!C11&gt;0,'Holding Costs'!$B$12,0)</f>
        <v>0</v>
      </c>
      <c r="J8" s="20" t="n">
        <f aca="false">IF('Absorption Schedule'!C12&gt;0,'Holding Costs'!$B$12,0)</f>
        <v>0</v>
      </c>
      <c r="K8" s="20" t="n">
        <f aca="false">IF('Absorption Schedule'!C13&gt;0,'Holding Costs'!$B$12,0)</f>
        <v>0</v>
      </c>
      <c r="L8" s="20" t="n">
        <f aca="false">IF('Absorption Schedule'!C14&gt;0,'Holding Costs'!$B$12,0)</f>
        <v>0</v>
      </c>
      <c r="M8" s="20" t="n">
        <f aca="false">IF('Absorption Schedule'!C15&gt;0,'Holding Costs'!$B$12,0)</f>
        <v>0</v>
      </c>
      <c r="N8" s="20" t="n">
        <f aca="false">IF('Absorption Schedule'!C16&gt;0,'Holding Costs'!$B$12,0)</f>
        <v>0</v>
      </c>
      <c r="O8" s="20" t="n">
        <f aca="false">IF('Absorption Schedule'!C17&gt;0,'Holding Costs'!$B$12,0)</f>
        <v>0</v>
      </c>
      <c r="P8" s="20" t="n">
        <f aca="false">IF('Absorption Schedule'!C18&gt;0,'Holding Costs'!$B$12,0)</f>
        <v>0</v>
      </c>
      <c r="Q8" s="20" t="n">
        <f aca="false">IF('Absorption Schedule'!C19&gt;0,'Holding Costs'!$B$12,0)</f>
        <v>0</v>
      </c>
      <c r="R8" s="20" t="n">
        <f aca="false">IF('Absorption Schedule'!C20&gt;0,'Holding Costs'!$B$12,0)</f>
        <v>0</v>
      </c>
      <c r="S8" s="20" t="n">
        <f aca="false">IF('Absorption Schedule'!C21&gt;0,'Holding Costs'!$B$12,0)</f>
        <v>0</v>
      </c>
      <c r="T8" s="20" t="n">
        <f aca="false">IF('Absorption Schedule'!C22&gt;0,'Holding Costs'!$B$12,0)</f>
        <v>0</v>
      </c>
      <c r="U8" s="20" t="n">
        <f aca="false">IF('Absorption Schedule'!C23&gt;0,'Holding Costs'!$B$12,0)</f>
        <v>0</v>
      </c>
      <c r="V8" s="20" t="n">
        <f aca="false">IF('Absorption Schedule'!C24&gt;0,'Holding Costs'!$B$12,0)</f>
        <v>0</v>
      </c>
      <c r="W8" s="20" t="n">
        <f aca="false">IF('Absorption Schedule'!C25&gt;0,'Holding Costs'!$B$12,0)</f>
        <v>0</v>
      </c>
      <c r="X8" s="20" t="n">
        <f aca="false">IF('Absorption Schedule'!C26&gt;0,'Holding Costs'!$B$12,0)</f>
        <v>0</v>
      </c>
      <c r="Y8" s="20" t="n">
        <f aca="false">IF('Absorption Schedule'!C27&gt;0,'Holding Costs'!$B$12,0)</f>
        <v>0</v>
      </c>
      <c r="Z8" s="20" t="n">
        <f aca="false">IF('Absorption Schedule'!C28&gt;0,'Holding Costs'!$B$12,0)</f>
        <v>0</v>
      </c>
      <c r="AA8" s="20" t="n">
        <f aca="false">IF('Absorption Schedule'!C29&gt;0,'Holding Costs'!$B$12,0)</f>
        <v>0</v>
      </c>
      <c r="AB8" s="20" t="n">
        <f aca="false">IF('Absorption Schedule'!C30&gt;0,'Holding Costs'!$B$12,0)</f>
        <v>0</v>
      </c>
      <c r="AC8" s="20" t="n">
        <f aca="false">IF('Absorption Schedule'!C31&gt;0,'Holding Costs'!$B$12,0)</f>
        <v>0</v>
      </c>
      <c r="AD8" s="20" t="n">
        <f aca="false">IF('Absorption Schedule'!C32&gt;0,'Holding Costs'!$B$12,0)</f>
        <v>0</v>
      </c>
      <c r="AE8" s="20" t="n">
        <f aca="false">IF('Absorption Schedule'!C33&gt;0,'Holding Costs'!$B$12,0)</f>
        <v>0</v>
      </c>
      <c r="AF8" s="20" t="n">
        <f aca="false">IF('Absorption Schedule'!C34&gt;0,'Holding Costs'!$B$12,0)</f>
        <v>0</v>
      </c>
      <c r="AG8" s="20" t="n">
        <f aca="false">IF('Absorption Schedule'!C35&gt;0,'Holding Costs'!$B$12,0)</f>
        <v>0</v>
      </c>
      <c r="AH8" s="20" t="n">
        <f aca="false">IF('Absorption Schedule'!C36&gt;0,'Holding Costs'!$B$12,0)</f>
        <v>0</v>
      </c>
      <c r="AI8" s="20" t="n">
        <f aca="false">IF('Absorption Schedule'!C37&gt;0,'Holding Costs'!$B$12,0)</f>
        <v>0</v>
      </c>
      <c r="AJ8" s="20" t="n">
        <f aca="false">IF('Absorption Schedule'!C38&gt;0,'Holding Costs'!$B$12,0)</f>
        <v>0</v>
      </c>
      <c r="AK8" s="20" t="n">
        <f aca="false">IF('Absorption Schedule'!C39&gt;0,'Holding Costs'!$B$12,0)</f>
        <v>0</v>
      </c>
      <c r="AL8" s="20" t="n">
        <f aca="false">IF('Absorption Schedule'!C40&gt;0,'Holding Costs'!$B$12,0)</f>
        <v>0</v>
      </c>
      <c r="AM8" s="20" t="n">
        <f aca="false">IF('Absorption Schedule'!C41&gt;0,'Holding Costs'!$B$12,0)</f>
        <v>0</v>
      </c>
      <c r="AN8" s="20" t="n">
        <f aca="false">IF('Absorption Schedule'!C42&gt;0,'Holding Costs'!$B$12,0)</f>
        <v>0</v>
      </c>
      <c r="AO8" s="20" t="n">
        <f aca="false">IF('Absorption Schedule'!C43&gt;0,'Holding Costs'!$B$12,0)</f>
        <v>0</v>
      </c>
      <c r="AP8" s="20" t="n">
        <f aca="false">IF('Absorption Schedule'!C44&gt;0,'Holding Costs'!$B$12,0)</f>
        <v>0</v>
      </c>
      <c r="AQ8" s="20" t="n">
        <f aca="false">IF('Absorption Schedule'!C45&gt;0,'Holding Costs'!$B$12,0)</f>
        <v>0</v>
      </c>
      <c r="AR8" s="20" t="n">
        <f aca="false">IF('Absorption Schedule'!C46&gt;0,'Holding Costs'!$B$12,0)</f>
        <v>0</v>
      </c>
      <c r="AS8" s="20" t="n">
        <f aca="false">IF('Absorption Schedule'!C47&gt;0,'Holding Costs'!$B$12,0)</f>
        <v>0</v>
      </c>
      <c r="AT8" s="20" t="n">
        <f aca="false">IF('Absorption Schedule'!C48&gt;0,'Holding Costs'!$B$12,0)</f>
        <v>0</v>
      </c>
      <c r="AU8" s="20" t="n">
        <f aca="false">IF('Absorption Schedule'!C49&gt;0,'Holding Costs'!$B$12,0)</f>
        <v>0</v>
      </c>
      <c r="AV8" s="20" t="n">
        <f aca="false">IF('Absorption Schedule'!C50&gt;0,'Holding Costs'!$B$12,0)</f>
        <v>0</v>
      </c>
      <c r="AW8" s="20" t="n">
        <f aca="false">IF('Absorption Schedule'!C51&gt;0,'Holding Costs'!$B$12,0)</f>
        <v>0</v>
      </c>
      <c r="AX8" s="20" t="n">
        <f aca="false">IF('Absorption Schedule'!C52&gt;0,'Holding Costs'!$B$12,0)</f>
        <v>0</v>
      </c>
      <c r="AY8" s="20" t="n">
        <f aca="false">IF('Absorption Schedule'!C53&gt;0,'Holding Costs'!$B$12,0)</f>
        <v>0</v>
      </c>
      <c r="AZ8" s="20" t="n">
        <f aca="false">IF('Absorption Schedule'!C54&gt;0,'Holding Costs'!$B$12,0)</f>
        <v>0</v>
      </c>
      <c r="BA8" s="20" t="n">
        <f aca="false">IF('Absorption Schedule'!C55&gt;0,'Holding Costs'!$B$12,0)</f>
        <v>0</v>
      </c>
      <c r="BB8" s="20" t="n">
        <f aca="false">IF('Absorption Schedule'!C56&gt;0,'Holding Costs'!$B$12,0)</f>
        <v>0</v>
      </c>
      <c r="BC8" s="20" t="n">
        <f aca="false">IF('Absorption Schedule'!C57&gt;0,'Holding Costs'!$B$12,0)</f>
        <v>0</v>
      </c>
      <c r="BD8" s="20" t="n">
        <f aca="false">IF('Absorption Schedule'!C58&gt;0,'Holding Costs'!$B$12,0)</f>
        <v>0</v>
      </c>
      <c r="BE8" s="20" t="n">
        <f aca="false">IF('Absorption Schedule'!C59&gt;0,'Holding Costs'!$B$12,0)</f>
        <v>0</v>
      </c>
      <c r="BF8" s="20" t="n">
        <f aca="false">IF('Absorption Schedule'!C60&gt;0,'Holding Costs'!$B$12,0)</f>
        <v>0</v>
      </c>
      <c r="BG8" s="20" t="n">
        <f aca="false">IF('Absorption Schedule'!C61&gt;0,'Holding Costs'!$B$12,0)</f>
        <v>0</v>
      </c>
      <c r="BH8" s="20" t="n">
        <f aca="false">IF('Absorption Schedule'!C62&gt;0,'Holding Costs'!$B$12,0)</f>
        <v>0</v>
      </c>
      <c r="BI8" s="20" t="n">
        <f aca="false">IF('Absorption Schedule'!C63&gt;0,'Holding Costs'!$B$12,0)</f>
        <v>0</v>
      </c>
    </row>
    <row r="9" customFormat="false" ht="15" hidden="false" customHeight="true" outlineLevel="0" collapsed="false">
      <c r="A9" s="21" t="s">
        <v>89</v>
      </c>
      <c r="B9" s="20" t="n">
        <f aca="false">B4*'Market Assumptions'!$B$8</f>
        <v>0</v>
      </c>
      <c r="C9" s="20" t="n">
        <f aca="false">C4*'Market Assumptions'!$B$8</f>
        <v>0</v>
      </c>
      <c r="D9" s="20" t="n">
        <f aca="false">D4*'Market Assumptions'!$B$8</f>
        <v>0</v>
      </c>
      <c r="E9" s="20" t="n">
        <f aca="false">E4*'Market Assumptions'!$B$8</f>
        <v>0</v>
      </c>
      <c r="F9" s="20" t="n">
        <f aca="false">F4*'Market Assumptions'!$B$8</f>
        <v>0</v>
      </c>
      <c r="G9" s="20" t="n">
        <f aca="false">G4*'Market Assumptions'!$B$8</f>
        <v>0</v>
      </c>
      <c r="H9" s="20" t="n">
        <f aca="false">H4*'Market Assumptions'!$B$8</f>
        <v>0</v>
      </c>
      <c r="I9" s="20" t="n">
        <f aca="false">I4*'Market Assumptions'!$B$8</f>
        <v>0</v>
      </c>
      <c r="J9" s="20" t="n">
        <f aca="false">J4*'Market Assumptions'!$B$8</f>
        <v>0</v>
      </c>
      <c r="K9" s="20" t="n">
        <f aca="false">K4*'Market Assumptions'!$B$8</f>
        <v>0</v>
      </c>
      <c r="L9" s="20" t="n">
        <f aca="false">L4*'Market Assumptions'!$B$8</f>
        <v>0</v>
      </c>
      <c r="M9" s="20" t="n">
        <f aca="false">M4*'Market Assumptions'!$B$8</f>
        <v>0</v>
      </c>
      <c r="N9" s="20" t="n">
        <f aca="false">N4*'Market Assumptions'!$B$8</f>
        <v>0</v>
      </c>
      <c r="O9" s="20" t="n">
        <f aca="false">O4*'Market Assumptions'!$B$8</f>
        <v>0</v>
      </c>
      <c r="P9" s="20" t="n">
        <f aca="false">P4*'Market Assumptions'!$B$8</f>
        <v>0</v>
      </c>
      <c r="Q9" s="20" t="n">
        <f aca="false">Q4*'Market Assumptions'!$B$8</f>
        <v>0</v>
      </c>
      <c r="R9" s="20" t="n">
        <f aca="false">R4*'Market Assumptions'!$B$8</f>
        <v>0</v>
      </c>
      <c r="S9" s="20" t="n">
        <f aca="false">S4*'Market Assumptions'!$B$8</f>
        <v>0</v>
      </c>
      <c r="T9" s="20" t="n">
        <f aca="false">T4*'Market Assumptions'!$B$8</f>
        <v>0</v>
      </c>
      <c r="U9" s="20" t="n">
        <f aca="false">U4*'Market Assumptions'!$B$8</f>
        <v>0</v>
      </c>
      <c r="V9" s="20" t="n">
        <f aca="false">V4*'Market Assumptions'!$B$8</f>
        <v>0</v>
      </c>
      <c r="W9" s="20" t="n">
        <f aca="false">W4*'Market Assumptions'!$B$8</f>
        <v>0</v>
      </c>
      <c r="X9" s="20" t="n">
        <f aca="false">X4*'Market Assumptions'!$B$8</f>
        <v>0</v>
      </c>
      <c r="Y9" s="20" t="n">
        <f aca="false">Y4*'Market Assumptions'!$B$8</f>
        <v>0</v>
      </c>
      <c r="Z9" s="20" t="n">
        <f aca="false">Z4*'Market Assumptions'!$B$8</f>
        <v>0</v>
      </c>
      <c r="AA9" s="20" t="n">
        <f aca="false">AA4*'Market Assumptions'!$B$8</f>
        <v>0</v>
      </c>
      <c r="AB9" s="20" t="n">
        <f aca="false">AB4*'Market Assumptions'!$B$8</f>
        <v>0</v>
      </c>
      <c r="AC9" s="20" t="n">
        <f aca="false">AC4*'Market Assumptions'!$B$8</f>
        <v>0</v>
      </c>
      <c r="AD9" s="20" t="n">
        <f aca="false">AD4*'Market Assumptions'!$B$8</f>
        <v>0</v>
      </c>
      <c r="AE9" s="20" t="n">
        <f aca="false">AE4*'Market Assumptions'!$B$8</f>
        <v>0</v>
      </c>
      <c r="AF9" s="20" t="n">
        <f aca="false">AF4*'Market Assumptions'!$B$8</f>
        <v>0</v>
      </c>
      <c r="AG9" s="20" t="n">
        <f aca="false">AG4*'Market Assumptions'!$B$8</f>
        <v>0</v>
      </c>
      <c r="AH9" s="20" t="n">
        <f aca="false">AH4*'Market Assumptions'!$B$8</f>
        <v>0</v>
      </c>
      <c r="AI9" s="20" t="n">
        <f aca="false">AI4*'Market Assumptions'!$B$8</f>
        <v>0</v>
      </c>
      <c r="AJ9" s="20" t="n">
        <f aca="false">AJ4*'Market Assumptions'!$B$8</f>
        <v>0</v>
      </c>
      <c r="AK9" s="20" t="n">
        <f aca="false">AK4*'Market Assumptions'!$B$8</f>
        <v>0</v>
      </c>
      <c r="AL9" s="20" t="n">
        <f aca="false">AL4*'Market Assumptions'!$B$8</f>
        <v>0</v>
      </c>
      <c r="AM9" s="20" t="n">
        <f aca="false">AM4*'Market Assumptions'!$B$8</f>
        <v>0</v>
      </c>
      <c r="AN9" s="20" t="n">
        <f aca="false">AN4*'Market Assumptions'!$B$8</f>
        <v>0</v>
      </c>
      <c r="AO9" s="20" t="n">
        <f aca="false">AO4*'Market Assumptions'!$B$8</f>
        <v>0</v>
      </c>
      <c r="AP9" s="20" t="n">
        <f aca="false">AP4*'Market Assumptions'!$B$8</f>
        <v>0</v>
      </c>
      <c r="AQ9" s="20" t="n">
        <f aca="false">AQ4*'Market Assumptions'!$B$8</f>
        <v>0</v>
      </c>
      <c r="AR9" s="20" t="n">
        <f aca="false">AR4*'Market Assumptions'!$B$8</f>
        <v>0</v>
      </c>
      <c r="AS9" s="20" t="n">
        <f aca="false">AS4*'Market Assumptions'!$B$8</f>
        <v>0</v>
      </c>
      <c r="AT9" s="20" t="n">
        <f aca="false">AT4*'Market Assumptions'!$B$8</f>
        <v>0</v>
      </c>
      <c r="AU9" s="20" t="n">
        <f aca="false">AU4*'Market Assumptions'!$B$8</f>
        <v>0</v>
      </c>
      <c r="AV9" s="20" t="n">
        <f aca="false">AV4*'Market Assumptions'!$B$8</f>
        <v>0</v>
      </c>
      <c r="AW9" s="20" t="n">
        <f aca="false">AW4*'Market Assumptions'!$B$8</f>
        <v>0</v>
      </c>
      <c r="AX9" s="20" t="n">
        <f aca="false">AX4*'Market Assumptions'!$B$8</f>
        <v>0</v>
      </c>
      <c r="AY9" s="20" t="n">
        <f aca="false">AY4*'Market Assumptions'!$B$8</f>
        <v>0</v>
      </c>
      <c r="AZ9" s="20" t="n">
        <f aca="false">AZ4*'Market Assumptions'!$B$8</f>
        <v>0</v>
      </c>
      <c r="BA9" s="20" t="n">
        <f aca="false">BA4*'Market Assumptions'!$B$8</f>
        <v>0</v>
      </c>
      <c r="BB9" s="20" t="n">
        <f aca="false">BB4*'Market Assumptions'!$B$8</f>
        <v>0</v>
      </c>
      <c r="BC9" s="20" t="n">
        <f aca="false">BC4*'Market Assumptions'!$B$8</f>
        <v>0</v>
      </c>
      <c r="BD9" s="20" t="n">
        <f aca="false">BD4*'Market Assumptions'!$B$8</f>
        <v>0</v>
      </c>
      <c r="BE9" s="20" t="n">
        <f aca="false">BE4*'Market Assumptions'!$B$8</f>
        <v>0</v>
      </c>
      <c r="BF9" s="20" t="n">
        <f aca="false">BF4*'Market Assumptions'!$B$8</f>
        <v>0</v>
      </c>
      <c r="BG9" s="20" t="n">
        <f aca="false">BG4*'Market Assumptions'!$B$8</f>
        <v>0</v>
      </c>
      <c r="BH9" s="20" t="n">
        <f aca="false">BH4*'Market Assumptions'!$B$8</f>
        <v>0</v>
      </c>
      <c r="BI9" s="20" t="n">
        <f aca="false">BI4*'Market Assumptions'!$B$8</f>
        <v>0</v>
      </c>
    </row>
    <row r="10" customFormat="false" ht="15" hidden="false" customHeight="true" outlineLevel="0" collapsed="false">
      <c r="A10" s="21" t="s">
        <v>167</v>
      </c>
      <c r="B10" s="20" t="n">
        <f aca="false">B4-SUM(B5:B9)</f>
        <v>0</v>
      </c>
      <c r="C10" s="20" t="n">
        <f aca="false">C4-SUM(C5:C9)</f>
        <v>0</v>
      </c>
      <c r="D10" s="20" t="n">
        <f aca="false">D4-SUM(D5:D9)</f>
        <v>0</v>
      </c>
      <c r="E10" s="20" t="n">
        <f aca="false">E4-SUM(E5:E9)</f>
        <v>0</v>
      </c>
      <c r="F10" s="20" t="n">
        <f aca="false">F4-SUM(F5:F9)</f>
        <v>0</v>
      </c>
      <c r="G10" s="20" t="n">
        <f aca="false">G4-SUM(G5:G9)</f>
        <v>0</v>
      </c>
      <c r="H10" s="20" t="n">
        <f aca="false">H4-SUM(H5:H9)</f>
        <v>0</v>
      </c>
      <c r="I10" s="20" t="n">
        <f aca="false">I4-SUM(I5:I9)</f>
        <v>0</v>
      </c>
      <c r="J10" s="20" t="n">
        <f aca="false">J4-SUM(J5:J9)</f>
        <v>0</v>
      </c>
      <c r="K10" s="20" t="n">
        <f aca="false">K4-SUM(K5:K9)</f>
        <v>0</v>
      </c>
      <c r="L10" s="20" t="n">
        <f aca="false">L4-SUM(L5:L9)</f>
        <v>0</v>
      </c>
      <c r="M10" s="20" t="n">
        <f aca="false">M4-SUM(M5:M9)</f>
        <v>0</v>
      </c>
      <c r="N10" s="20" t="n">
        <f aca="false">N4-SUM(N5:N9)</f>
        <v>0</v>
      </c>
      <c r="O10" s="20" t="n">
        <f aca="false">O4-SUM(O5:O9)</f>
        <v>0</v>
      </c>
      <c r="P10" s="20" t="n">
        <f aca="false">P4-SUM(P5:P9)</f>
        <v>0</v>
      </c>
      <c r="Q10" s="20" t="n">
        <f aca="false">Q4-SUM(Q5:Q9)</f>
        <v>0</v>
      </c>
      <c r="R10" s="20" t="n">
        <f aca="false">R4-SUM(R5:R9)</f>
        <v>0</v>
      </c>
      <c r="S10" s="20" t="n">
        <f aca="false">S4-SUM(S5:S9)</f>
        <v>0</v>
      </c>
      <c r="T10" s="20" t="n">
        <f aca="false">T4-SUM(T5:T9)</f>
        <v>0</v>
      </c>
      <c r="U10" s="20" t="n">
        <f aca="false">U4-SUM(U5:U9)</f>
        <v>0</v>
      </c>
      <c r="V10" s="20" t="n">
        <f aca="false">V4-SUM(V5:V9)</f>
        <v>0</v>
      </c>
      <c r="W10" s="20" t="n">
        <f aca="false">W4-SUM(W5:W9)</f>
        <v>0</v>
      </c>
      <c r="X10" s="20" t="n">
        <f aca="false">X4-SUM(X5:X9)</f>
        <v>0</v>
      </c>
      <c r="Y10" s="20" t="n">
        <f aca="false">Y4-SUM(Y5:Y9)</f>
        <v>0</v>
      </c>
      <c r="Z10" s="20" t="n">
        <f aca="false">Z4-SUM(Z5:Z9)</f>
        <v>0</v>
      </c>
      <c r="AA10" s="20" t="n">
        <f aca="false">AA4-SUM(AA5:AA9)</f>
        <v>0</v>
      </c>
      <c r="AB10" s="20" t="n">
        <f aca="false">AB4-SUM(AB5:AB9)</f>
        <v>0</v>
      </c>
      <c r="AC10" s="20" t="n">
        <f aca="false">AC4-SUM(AC5:AC9)</f>
        <v>0</v>
      </c>
      <c r="AD10" s="20" t="n">
        <f aca="false">AD4-SUM(AD5:AD9)</f>
        <v>0</v>
      </c>
      <c r="AE10" s="20" t="n">
        <f aca="false">AE4-SUM(AE5:AE9)</f>
        <v>0</v>
      </c>
      <c r="AF10" s="20" t="n">
        <f aca="false">AF4-SUM(AF5:AF9)</f>
        <v>0</v>
      </c>
      <c r="AG10" s="20" t="n">
        <f aca="false">AG4-SUM(AG5:AG9)</f>
        <v>0</v>
      </c>
      <c r="AH10" s="20" t="n">
        <f aca="false">AH4-SUM(AH5:AH9)</f>
        <v>0</v>
      </c>
      <c r="AI10" s="20" t="n">
        <f aca="false">AI4-SUM(AI5:AI9)</f>
        <v>0</v>
      </c>
      <c r="AJ10" s="20" t="n">
        <f aca="false">AJ4-SUM(AJ5:AJ9)</f>
        <v>0</v>
      </c>
      <c r="AK10" s="20" t="n">
        <f aca="false">AK4-SUM(AK5:AK9)</f>
        <v>0</v>
      </c>
      <c r="AL10" s="20" t="n">
        <f aca="false">AL4-SUM(AL5:AL9)</f>
        <v>0</v>
      </c>
      <c r="AM10" s="20" t="n">
        <f aca="false">AM4-SUM(AM5:AM9)</f>
        <v>0</v>
      </c>
      <c r="AN10" s="20" t="n">
        <f aca="false">AN4-SUM(AN5:AN9)</f>
        <v>0</v>
      </c>
      <c r="AO10" s="20" t="n">
        <f aca="false">AO4-SUM(AO5:AO9)</f>
        <v>0</v>
      </c>
      <c r="AP10" s="20" t="n">
        <f aca="false">AP4-SUM(AP5:AP9)</f>
        <v>0</v>
      </c>
      <c r="AQ10" s="20" t="n">
        <f aca="false">AQ4-SUM(AQ5:AQ9)</f>
        <v>0</v>
      </c>
      <c r="AR10" s="20" t="n">
        <f aca="false">AR4-SUM(AR5:AR9)</f>
        <v>0</v>
      </c>
      <c r="AS10" s="20" t="n">
        <f aca="false">AS4-SUM(AS5:AS9)</f>
        <v>0</v>
      </c>
      <c r="AT10" s="20" t="n">
        <f aca="false">AT4-SUM(AT5:AT9)</f>
        <v>0</v>
      </c>
      <c r="AU10" s="20" t="n">
        <f aca="false">AU4-SUM(AU5:AU9)</f>
        <v>0</v>
      </c>
      <c r="AV10" s="20" t="n">
        <f aca="false">AV4-SUM(AV5:AV9)</f>
        <v>0</v>
      </c>
      <c r="AW10" s="20" t="n">
        <f aca="false">AW4-SUM(AW5:AW9)</f>
        <v>0</v>
      </c>
      <c r="AX10" s="20" t="n">
        <f aca="false">AX4-SUM(AX5:AX9)</f>
        <v>0</v>
      </c>
      <c r="AY10" s="20" t="n">
        <f aca="false">AY4-SUM(AY5:AY9)</f>
        <v>0</v>
      </c>
      <c r="AZ10" s="20" t="n">
        <f aca="false">AZ4-SUM(AZ5:AZ9)</f>
        <v>0</v>
      </c>
      <c r="BA10" s="20" t="n">
        <f aca="false">BA4-SUM(BA5:BA9)</f>
        <v>0</v>
      </c>
      <c r="BB10" s="20" t="n">
        <f aca="false">BB4-SUM(BB5:BB9)</f>
        <v>0</v>
      </c>
      <c r="BC10" s="20" t="n">
        <f aca="false">BC4-SUM(BC5:BC9)</f>
        <v>0</v>
      </c>
      <c r="BD10" s="20" t="n">
        <f aca="false">BD4-SUM(BD5:BD9)</f>
        <v>0</v>
      </c>
      <c r="BE10" s="20" t="n">
        <f aca="false">BE4-SUM(BE5:BE9)</f>
        <v>0</v>
      </c>
      <c r="BF10" s="20" t="n">
        <f aca="false">BF4-SUM(BF5:BF9)</f>
        <v>0</v>
      </c>
      <c r="BG10" s="20" t="n">
        <f aca="false">BG4-SUM(BG5:BG9)</f>
        <v>0</v>
      </c>
      <c r="BH10" s="20" t="n">
        <f aca="false">BH4-SUM(BH5:BH9)</f>
        <v>0</v>
      </c>
      <c r="BI10" s="20" t="n">
        <f aca="false">BI4-SUM(BI5:BI9)</f>
        <v>0</v>
      </c>
    </row>
    <row r="11" customFormat="false" ht="15" hidden="false" customHeight="true" outlineLevel="0" collapsed="false">
      <c r="A11" s="21" t="s">
        <v>168</v>
      </c>
      <c r="B11" s="22" t="n">
        <f aca="false">1/(1+'Discount Rate Support'!$C$13/12)^B$3</f>
        <v>1</v>
      </c>
      <c r="C11" s="22" t="n">
        <f aca="false">1/(1+'Discount Rate Support'!$C$13/12)^C$3</f>
        <v>1</v>
      </c>
      <c r="D11" s="22" t="n">
        <f aca="false">1/(1+'Discount Rate Support'!$C$13/12)^D$3</f>
        <v>1</v>
      </c>
      <c r="E11" s="22" t="n">
        <f aca="false">1/(1+'Discount Rate Support'!$C$13/12)^E$3</f>
        <v>1</v>
      </c>
      <c r="F11" s="22" t="n">
        <f aca="false">1/(1+'Discount Rate Support'!$C$13/12)^F$3</f>
        <v>1</v>
      </c>
      <c r="G11" s="22" t="n">
        <f aca="false">1/(1+'Discount Rate Support'!$C$13/12)^G$3</f>
        <v>1</v>
      </c>
      <c r="H11" s="22" t="n">
        <f aca="false">1/(1+'Discount Rate Support'!$C$13/12)^H$3</f>
        <v>1</v>
      </c>
      <c r="I11" s="22" t="n">
        <f aca="false">1/(1+'Discount Rate Support'!$C$13/12)^I$3</f>
        <v>1</v>
      </c>
      <c r="J11" s="22" t="n">
        <f aca="false">1/(1+'Discount Rate Support'!$C$13/12)^J$3</f>
        <v>1</v>
      </c>
      <c r="K11" s="22" t="n">
        <f aca="false">1/(1+'Discount Rate Support'!$C$13/12)^K$3</f>
        <v>1</v>
      </c>
      <c r="L11" s="22" t="n">
        <f aca="false">1/(1+'Discount Rate Support'!$C$13/12)^L$3</f>
        <v>1</v>
      </c>
      <c r="M11" s="22" t="n">
        <f aca="false">1/(1+'Discount Rate Support'!$C$13/12)^M$3</f>
        <v>1</v>
      </c>
      <c r="N11" s="22" t="n">
        <f aca="false">1/(1+'Discount Rate Support'!$C$13/12)^N$3</f>
        <v>1</v>
      </c>
      <c r="O11" s="22" t="n">
        <f aca="false">1/(1+'Discount Rate Support'!$C$13/12)^O$3</f>
        <v>1</v>
      </c>
      <c r="P11" s="22" t="n">
        <f aca="false">1/(1+'Discount Rate Support'!$C$13/12)^P$3</f>
        <v>1</v>
      </c>
      <c r="Q11" s="22" t="n">
        <f aca="false">1/(1+'Discount Rate Support'!$C$13/12)^Q$3</f>
        <v>1</v>
      </c>
      <c r="R11" s="22" t="n">
        <f aca="false">1/(1+'Discount Rate Support'!$C$13/12)^R$3</f>
        <v>1</v>
      </c>
      <c r="S11" s="22" t="n">
        <f aca="false">1/(1+'Discount Rate Support'!$C$13/12)^S$3</f>
        <v>1</v>
      </c>
      <c r="T11" s="22" t="n">
        <f aca="false">1/(1+'Discount Rate Support'!$C$13/12)^T$3</f>
        <v>1</v>
      </c>
      <c r="U11" s="22" t="n">
        <f aca="false">1/(1+'Discount Rate Support'!$C$13/12)^U$3</f>
        <v>1</v>
      </c>
      <c r="V11" s="22" t="n">
        <f aca="false">1/(1+'Discount Rate Support'!$C$13/12)^V$3</f>
        <v>1</v>
      </c>
      <c r="W11" s="22" t="n">
        <f aca="false">1/(1+'Discount Rate Support'!$C$13/12)^W$3</f>
        <v>1</v>
      </c>
      <c r="X11" s="22" t="n">
        <f aca="false">1/(1+'Discount Rate Support'!$C$13/12)^X$3</f>
        <v>1</v>
      </c>
      <c r="Y11" s="22" t="n">
        <f aca="false">1/(1+'Discount Rate Support'!$C$13/12)^Y$3</f>
        <v>1</v>
      </c>
      <c r="Z11" s="22" t="n">
        <f aca="false">1/(1+'Discount Rate Support'!$C$13/12)^Z$3</f>
        <v>1</v>
      </c>
      <c r="AA11" s="22" t="n">
        <f aca="false">1/(1+'Discount Rate Support'!$C$13/12)^AA$3</f>
        <v>1</v>
      </c>
      <c r="AB11" s="22" t="n">
        <f aca="false">1/(1+'Discount Rate Support'!$C$13/12)^AB$3</f>
        <v>1</v>
      </c>
      <c r="AC11" s="22" t="n">
        <f aca="false">1/(1+'Discount Rate Support'!$C$13/12)^AC$3</f>
        <v>1</v>
      </c>
      <c r="AD11" s="22" t="n">
        <f aca="false">1/(1+'Discount Rate Support'!$C$13/12)^AD$3</f>
        <v>1</v>
      </c>
      <c r="AE11" s="22" t="n">
        <f aca="false">1/(1+'Discount Rate Support'!$C$13/12)^AE$3</f>
        <v>1</v>
      </c>
      <c r="AF11" s="22" t="n">
        <f aca="false">1/(1+'Discount Rate Support'!$C$13/12)^AF$3</f>
        <v>1</v>
      </c>
      <c r="AG11" s="22" t="n">
        <f aca="false">1/(1+'Discount Rate Support'!$C$13/12)^AG$3</f>
        <v>1</v>
      </c>
      <c r="AH11" s="22" t="n">
        <f aca="false">1/(1+'Discount Rate Support'!$C$13/12)^AH$3</f>
        <v>1</v>
      </c>
      <c r="AI11" s="22" t="n">
        <f aca="false">1/(1+'Discount Rate Support'!$C$13/12)^AI$3</f>
        <v>1</v>
      </c>
      <c r="AJ11" s="22" t="n">
        <f aca="false">1/(1+'Discount Rate Support'!$C$13/12)^AJ$3</f>
        <v>1</v>
      </c>
      <c r="AK11" s="22" t="n">
        <f aca="false">1/(1+'Discount Rate Support'!$C$13/12)^AK$3</f>
        <v>1</v>
      </c>
      <c r="AL11" s="22" t="n">
        <f aca="false">1/(1+'Discount Rate Support'!$C$13/12)^AL$3</f>
        <v>1</v>
      </c>
      <c r="AM11" s="22" t="n">
        <f aca="false">1/(1+'Discount Rate Support'!$C$13/12)^AM$3</f>
        <v>1</v>
      </c>
      <c r="AN11" s="22" t="n">
        <f aca="false">1/(1+'Discount Rate Support'!$C$13/12)^AN$3</f>
        <v>1</v>
      </c>
      <c r="AO11" s="22" t="n">
        <f aca="false">1/(1+'Discount Rate Support'!$C$13/12)^AO$3</f>
        <v>1</v>
      </c>
      <c r="AP11" s="22" t="n">
        <f aca="false">1/(1+'Discount Rate Support'!$C$13/12)^AP$3</f>
        <v>1</v>
      </c>
      <c r="AQ11" s="22" t="n">
        <f aca="false">1/(1+'Discount Rate Support'!$C$13/12)^AQ$3</f>
        <v>1</v>
      </c>
      <c r="AR11" s="22" t="n">
        <f aca="false">1/(1+'Discount Rate Support'!$C$13/12)^AR$3</f>
        <v>1</v>
      </c>
      <c r="AS11" s="22" t="n">
        <f aca="false">1/(1+'Discount Rate Support'!$C$13/12)^AS$3</f>
        <v>1</v>
      </c>
      <c r="AT11" s="22" t="n">
        <f aca="false">1/(1+'Discount Rate Support'!$C$13/12)^AT$3</f>
        <v>1</v>
      </c>
      <c r="AU11" s="22" t="n">
        <f aca="false">1/(1+'Discount Rate Support'!$C$13/12)^AU$3</f>
        <v>1</v>
      </c>
      <c r="AV11" s="22" t="n">
        <f aca="false">1/(1+'Discount Rate Support'!$C$13/12)^AV$3</f>
        <v>1</v>
      </c>
      <c r="AW11" s="22" t="n">
        <f aca="false">1/(1+'Discount Rate Support'!$C$13/12)^AW$3</f>
        <v>1</v>
      </c>
      <c r="AX11" s="22" t="n">
        <f aca="false">1/(1+'Discount Rate Support'!$C$13/12)^AX$3</f>
        <v>1</v>
      </c>
      <c r="AY11" s="22" t="n">
        <f aca="false">1/(1+'Discount Rate Support'!$C$13/12)^AY$3</f>
        <v>1</v>
      </c>
      <c r="AZ11" s="22" t="n">
        <f aca="false">1/(1+'Discount Rate Support'!$C$13/12)^AZ$3</f>
        <v>1</v>
      </c>
      <c r="BA11" s="22" t="n">
        <f aca="false">1/(1+'Discount Rate Support'!$C$13/12)^BA$3</f>
        <v>1</v>
      </c>
      <c r="BB11" s="22" t="n">
        <f aca="false">1/(1+'Discount Rate Support'!$C$13/12)^BB$3</f>
        <v>1</v>
      </c>
      <c r="BC11" s="22" t="n">
        <f aca="false">1/(1+'Discount Rate Support'!$C$13/12)^BC$3</f>
        <v>1</v>
      </c>
      <c r="BD11" s="22" t="n">
        <f aca="false">1/(1+'Discount Rate Support'!$C$13/12)^BD$3</f>
        <v>1</v>
      </c>
      <c r="BE11" s="22" t="n">
        <f aca="false">1/(1+'Discount Rate Support'!$C$13/12)^BE$3</f>
        <v>1</v>
      </c>
      <c r="BF11" s="22" t="n">
        <f aca="false">1/(1+'Discount Rate Support'!$C$13/12)^BF$3</f>
        <v>1</v>
      </c>
      <c r="BG11" s="22" t="n">
        <f aca="false">1/(1+'Discount Rate Support'!$C$13/12)^BG$3</f>
        <v>1</v>
      </c>
      <c r="BH11" s="22" t="n">
        <f aca="false">1/(1+'Discount Rate Support'!$C$13/12)^BH$3</f>
        <v>1</v>
      </c>
      <c r="BI11" s="22" t="n">
        <f aca="false">1/(1+'Discount Rate Support'!$C$13/12)^BI$3</f>
        <v>1</v>
      </c>
    </row>
    <row r="12" customFormat="false" ht="15" hidden="false" customHeight="true" outlineLevel="0" collapsed="false">
      <c r="A12" s="21" t="s">
        <v>169</v>
      </c>
      <c r="B12" s="20" t="n">
        <f aca="false">B10*B11</f>
        <v>0</v>
      </c>
      <c r="C12" s="20" t="n">
        <f aca="false">C10*C11</f>
        <v>0</v>
      </c>
      <c r="D12" s="20" t="n">
        <f aca="false">D10*D11</f>
        <v>0</v>
      </c>
      <c r="E12" s="20" t="n">
        <f aca="false">E10*E11</f>
        <v>0</v>
      </c>
      <c r="F12" s="20" t="n">
        <f aca="false">F10*F11</f>
        <v>0</v>
      </c>
      <c r="G12" s="20" t="n">
        <f aca="false">G10*G11</f>
        <v>0</v>
      </c>
      <c r="H12" s="20" t="n">
        <f aca="false">H10*H11</f>
        <v>0</v>
      </c>
      <c r="I12" s="20" t="n">
        <f aca="false">I10*I11</f>
        <v>0</v>
      </c>
      <c r="J12" s="20" t="n">
        <f aca="false">J10*J11</f>
        <v>0</v>
      </c>
      <c r="K12" s="20" t="n">
        <f aca="false">K10*K11</f>
        <v>0</v>
      </c>
      <c r="L12" s="20" t="n">
        <f aca="false">L10*L11</f>
        <v>0</v>
      </c>
      <c r="M12" s="20" t="n">
        <f aca="false">M10*M11</f>
        <v>0</v>
      </c>
      <c r="N12" s="20" t="n">
        <f aca="false">N10*N11</f>
        <v>0</v>
      </c>
      <c r="O12" s="20" t="n">
        <f aca="false">O10*O11</f>
        <v>0</v>
      </c>
      <c r="P12" s="20" t="n">
        <f aca="false">P10*P11</f>
        <v>0</v>
      </c>
      <c r="Q12" s="20" t="n">
        <f aca="false">Q10*Q11</f>
        <v>0</v>
      </c>
      <c r="R12" s="20" t="n">
        <f aca="false">R10*R11</f>
        <v>0</v>
      </c>
      <c r="S12" s="20" t="n">
        <f aca="false">S10*S11</f>
        <v>0</v>
      </c>
      <c r="T12" s="20" t="n">
        <f aca="false">T10*T11</f>
        <v>0</v>
      </c>
      <c r="U12" s="20" t="n">
        <f aca="false">U10*U11</f>
        <v>0</v>
      </c>
      <c r="V12" s="20" t="n">
        <f aca="false">V10*V11</f>
        <v>0</v>
      </c>
      <c r="W12" s="20" t="n">
        <f aca="false">W10*W11</f>
        <v>0</v>
      </c>
      <c r="X12" s="20" t="n">
        <f aca="false">X10*X11</f>
        <v>0</v>
      </c>
      <c r="Y12" s="20" t="n">
        <f aca="false">Y10*Y11</f>
        <v>0</v>
      </c>
      <c r="Z12" s="20" t="n">
        <f aca="false">Z10*Z11</f>
        <v>0</v>
      </c>
      <c r="AA12" s="20" t="n">
        <f aca="false">AA10*AA11</f>
        <v>0</v>
      </c>
      <c r="AB12" s="20" t="n">
        <f aca="false">AB10*AB11</f>
        <v>0</v>
      </c>
      <c r="AC12" s="20" t="n">
        <f aca="false">AC10*AC11</f>
        <v>0</v>
      </c>
      <c r="AD12" s="20" t="n">
        <f aca="false">AD10*AD11</f>
        <v>0</v>
      </c>
      <c r="AE12" s="20" t="n">
        <f aca="false">AE10*AE11</f>
        <v>0</v>
      </c>
      <c r="AF12" s="20" t="n">
        <f aca="false">AF10*AF11</f>
        <v>0</v>
      </c>
      <c r="AG12" s="20" t="n">
        <f aca="false">AG10*AG11</f>
        <v>0</v>
      </c>
      <c r="AH12" s="20" t="n">
        <f aca="false">AH10*AH11</f>
        <v>0</v>
      </c>
      <c r="AI12" s="20" t="n">
        <f aca="false">AI10*AI11</f>
        <v>0</v>
      </c>
      <c r="AJ12" s="20" t="n">
        <f aca="false">AJ10*AJ11</f>
        <v>0</v>
      </c>
      <c r="AK12" s="20" t="n">
        <f aca="false">AK10*AK11</f>
        <v>0</v>
      </c>
      <c r="AL12" s="20" t="n">
        <f aca="false">AL10*AL11</f>
        <v>0</v>
      </c>
      <c r="AM12" s="20" t="n">
        <f aca="false">AM10*AM11</f>
        <v>0</v>
      </c>
      <c r="AN12" s="20" t="n">
        <f aca="false">AN10*AN11</f>
        <v>0</v>
      </c>
      <c r="AO12" s="20" t="n">
        <f aca="false">AO10*AO11</f>
        <v>0</v>
      </c>
      <c r="AP12" s="20" t="n">
        <f aca="false">AP10*AP11</f>
        <v>0</v>
      </c>
      <c r="AQ12" s="20" t="n">
        <f aca="false">AQ10*AQ11</f>
        <v>0</v>
      </c>
      <c r="AR12" s="20" t="n">
        <f aca="false">AR10*AR11</f>
        <v>0</v>
      </c>
      <c r="AS12" s="20" t="n">
        <f aca="false">AS10*AS11</f>
        <v>0</v>
      </c>
      <c r="AT12" s="20" t="n">
        <f aca="false">AT10*AT11</f>
        <v>0</v>
      </c>
      <c r="AU12" s="20" t="n">
        <f aca="false">AU10*AU11</f>
        <v>0</v>
      </c>
      <c r="AV12" s="20" t="n">
        <f aca="false">AV10*AV11</f>
        <v>0</v>
      </c>
      <c r="AW12" s="20" t="n">
        <f aca="false">AW10*AW11</f>
        <v>0</v>
      </c>
      <c r="AX12" s="20" t="n">
        <f aca="false">AX10*AX11</f>
        <v>0</v>
      </c>
      <c r="AY12" s="20" t="n">
        <f aca="false">AY10*AY11</f>
        <v>0</v>
      </c>
      <c r="AZ12" s="20" t="n">
        <f aca="false">AZ10*AZ11</f>
        <v>0</v>
      </c>
      <c r="BA12" s="20" t="n">
        <f aca="false">BA10*BA11</f>
        <v>0</v>
      </c>
      <c r="BB12" s="20" t="n">
        <f aca="false">BB10*BB11</f>
        <v>0</v>
      </c>
      <c r="BC12" s="20" t="n">
        <f aca="false">BC10*BC11</f>
        <v>0</v>
      </c>
      <c r="BD12" s="20" t="n">
        <f aca="false">BD10*BD11</f>
        <v>0</v>
      </c>
      <c r="BE12" s="20" t="n">
        <f aca="false">BE10*BE11</f>
        <v>0</v>
      </c>
      <c r="BF12" s="20" t="n">
        <f aca="false">BF10*BF11</f>
        <v>0</v>
      </c>
      <c r="BG12" s="20" t="n">
        <f aca="false">BG10*BG11</f>
        <v>0</v>
      </c>
      <c r="BH12" s="20" t="n">
        <f aca="false">BH10*BH11</f>
        <v>0</v>
      </c>
      <c r="BI12" s="20" t="n">
        <f aca="false">BI10*BI11</f>
        <v>0</v>
      </c>
    </row>
    <row r="13" customFormat="false" ht="15" hidden="false" customHeight="true" outlineLevel="0" collapsed="false">
      <c r="A13" s="21" t="s">
        <v>170</v>
      </c>
      <c r="B13" s="20" t="n">
        <f aca="false">SUM($B$12:B12)</f>
        <v>0</v>
      </c>
      <c r="C13" s="20" t="n">
        <f aca="false">SUM($B$12:C12)</f>
        <v>0</v>
      </c>
      <c r="D13" s="20" t="n">
        <f aca="false">SUM($B$12:D12)</f>
        <v>0</v>
      </c>
      <c r="E13" s="20" t="n">
        <f aca="false">SUM($B$12:E12)</f>
        <v>0</v>
      </c>
      <c r="F13" s="20" t="n">
        <f aca="false">SUM($B$12:F12)</f>
        <v>0</v>
      </c>
      <c r="G13" s="20" t="n">
        <f aca="false">SUM($B$12:G12)</f>
        <v>0</v>
      </c>
      <c r="H13" s="20" t="n">
        <f aca="false">SUM($B$12:H12)</f>
        <v>0</v>
      </c>
      <c r="I13" s="20" t="n">
        <f aca="false">SUM($B$12:I12)</f>
        <v>0</v>
      </c>
      <c r="J13" s="20" t="n">
        <f aca="false">SUM($B$12:J12)</f>
        <v>0</v>
      </c>
      <c r="K13" s="20" t="n">
        <f aca="false">SUM($B$12:K12)</f>
        <v>0</v>
      </c>
      <c r="L13" s="20" t="n">
        <f aca="false">SUM($B$12:L12)</f>
        <v>0</v>
      </c>
      <c r="M13" s="20" t="n">
        <f aca="false">SUM($B$12:M12)</f>
        <v>0</v>
      </c>
      <c r="N13" s="20" t="n">
        <f aca="false">SUM($B$12:N12)</f>
        <v>0</v>
      </c>
      <c r="O13" s="20" t="n">
        <f aca="false">SUM($B$12:O12)</f>
        <v>0</v>
      </c>
      <c r="P13" s="20" t="n">
        <f aca="false">SUM($B$12:P12)</f>
        <v>0</v>
      </c>
      <c r="Q13" s="20" t="n">
        <f aca="false">SUM($B$12:Q12)</f>
        <v>0</v>
      </c>
      <c r="R13" s="20" t="n">
        <f aca="false">SUM($B$12:R12)</f>
        <v>0</v>
      </c>
      <c r="S13" s="20" t="n">
        <f aca="false">SUM($B$12:S12)</f>
        <v>0</v>
      </c>
      <c r="T13" s="20" t="n">
        <f aca="false">SUM($B$12:T12)</f>
        <v>0</v>
      </c>
      <c r="U13" s="20" t="n">
        <f aca="false">SUM($B$12:U12)</f>
        <v>0</v>
      </c>
      <c r="V13" s="20" t="n">
        <f aca="false">SUM($B$12:V12)</f>
        <v>0</v>
      </c>
      <c r="W13" s="20" t="n">
        <f aca="false">SUM($B$12:W12)</f>
        <v>0</v>
      </c>
      <c r="X13" s="20" t="n">
        <f aca="false">SUM($B$12:X12)</f>
        <v>0</v>
      </c>
      <c r="Y13" s="20" t="n">
        <f aca="false">SUM($B$12:Y12)</f>
        <v>0</v>
      </c>
      <c r="Z13" s="20" t="n">
        <f aca="false">SUM($B$12:Z12)</f>
        <v>0</v>
      </c>
      <c r="AA13" s="20" t="n">
        <f aca="false">SUM($B$12:AA12)</f>
        <v>0</v>
      </c>
      <c r="AB13" s="20" t="n">
        <f aca="false">SUM($B$12:AB12)</f>
        <v>0</v>
      </c>
      <c r="AC13" s="20" t="n">
        <f aca="false">SUM($B$12:AC12)</f>
        <v>0</v>
      </c>
      <c r="AD13" s="20" t="n">
        <f aca="false">SUM($B$12:AD12)</f>
        <v>0</v>
      </c>
      <c r="AE13" s="20" t="n">
        <f aca="false">SUM($B$12:AE12)</f>
        <v>0</v>
      </c>
      <c r="AF13" s="20" t="n">
        <f aca="false">SUM($B$12:AF12)</f>
        <v>0</v>
      </c>
      <c r="AG13" s="20" t="n">
        <f aca="false">SUM($B$12:AG12)</f>
        <v>0</v>
      </c>
      <c r="AH13" s="20" t="n">
        <f aca="false">SUM($B$12:AH12)</f>
        <v>0</v>
      </c>
      <c r="AI13" s="20" t="n">
        <f aca="false">SUM($B$12:AI12)</f>
        <v>0</v>
      </c>
      <c r="AJ13" s="20" t="n">
        <f aca="false">SUM($B$12:AJ12)</f>
        <v>0</v>
      </c>
      <c r="AK13" s="20" t="n">
        <f aca="false">SUM($B$12:AK12)</f>
        <v>0</v>
      </c>
      <c r="AL13" s="20" t="n">
        <f aca="false">SUM($B$12:AL12)</f>
        <v>0</v>
      </c>
      <c r="AM13" s="20" t="n">
        <f aca="false">SUM($B$12:AM12)</f>
        <v>0</v>
      </c>
      <c r="AN13" s="20" t="n">
        <f aca="false">SUM($B$12:AN12)</f>
        <v>0</v>
      </c>
      <c r="AO13" s="20" t="n">
        <f aca="false">SUM($B$12:AO12)</f>
        <v>0</v>
      </c>
      <c r="AP13" s="20" t="n">
        <f aca="false">SUM($B$12:AP12)</f>
        <v>0</v>
      </c>
      <c r="AQ13" s="20" t="n">
        <f aca="false">SUM($B$12:AQ12)</f>
        <v>0</v>
      </c>
      <c r="AR13" s="20" t="n">
        <f aca="false">SUM($B$12:AR12)</f>
        <v>0</v>
      </c>
      <c r="AS13" s="20" t="n">
        <f aca="false">SUM($B$12:AS12)</f>
        <v>0</v>
      </c>
      <c r="AT13" s="20" t="n">
        <f aca="false">SUM($B$12:AT12)</f>
        <v>0</v>
      </c>
      <c r="AU13" s="20" t="n">
        <f aca="false">SUM($B$12:AU12)</f>
        <v>0</v>
      </c>
      <c r="AV13" s="20" t="n">
        <f aca="false">SUM($B$12:AV12)</f>
        <v>0</v>
      </c>
      <c r="AW13" s="20" t="n">
        <f aca="false">SUM($B$12:AW12)</f>
        <v>0</v>
      </c>
      <c r="AX13" s="20" t="n">
        <f aca="false">SUM($B$12:AX12)</f>
        <v>0</v>
      </c>
      <c r="AY13" s="20" t="n">
        <f aca="false">SUM($B$12:AY12)</f>
        <v>0</v>
      </c>
      <c r="AZ13" s="20" t="n">
        <f aca="false">SUM($B$12:AZ12)</f>
        <v>0</v>
      </c>
      <c r="BA13" s="20" t="n">
        <f aca="false">SUM($B$12:BA12)</f>
        <v>0</v>
      </c>
      <c r="BB13" s="20" t="n">
        <f aca="false">SUM($B$12:BB12)</f>
        <v>0</v>
      </c>
      <c r="BC13" s="20" t="n">
        <f aca="false">SUM($B$12:BC12)</f>
        <v>0</v>
      </c>
      <c r="BD13" s="20" t="n">
        <f aca="false">SUM($B$12:BD12)</f>
        <v>0</v>
      </c>
      <c r="BE13" s="20" t="n">
        <f aca="false">SUM($B$12:BE12)</f>
        <v>0</v>
      </c>
      <c r="BF13" s="20" t="n">
        <f aca="false">SUM($B$12:BF12)</f>
        <v>0</v>
      </c>
      <c r="BG13" s="20" t="n">
        <f aca="false">SUM($B$12:BG12)</f>
        <v>0</v>
      </c>
      <c r="BH13" s="20" t="n">
        <f aca="false">SUM($B$12:BH12)</f>
        <v>0</v>
      </c>
      <c r="BI13" s="20" t="n">
        <f aca="false">SUM($B$12:BI12)</f>
        <v>0</v>
      </c>
    </row>
    <row r="14" customFormat="false" ht="15" hidden="false" customHeight="true" outlineLevel="0" collapsed="false">
      <c r="A14" s="3"/>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row>
    <row r="15" customFormat="false" ht="15" hidden="false" customHeight="true" outlineLevel="0" collapsed="false">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row>
    <row r="16" customFormat="false" ht="15" hidden="false" customHeight="true" outlineLevel="0" collapsed="false">
      <c r="A16" s="9" t="s">
        <v>171</v>
      </c>
      <c r="B16" s="9"/>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row>
    <row r="17" customFormat="false" ht="15" hidden="false" customHeight="true" outlineLevel="0" collapsed="false">
      <c r="A17" s="3" t="s">
        <v>172</v>
      </c>
      <c r="B17" s="20" t="n">
        <f aca="false">SUM(B4:BI4)</f>
        <v>0</v>
      </c>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row>
    <row r="18" customFormat="false" ht="15" hidden="false" customHeight="true" outlineLevel="0" collapsed="false">
      <c r="A18" s="3" t="s">
        <v>173</v>
      </c>
      <c r="B18" s="20" t="n">
        <f aca="false">SUM(B5:BI5)</f>
        <v>0</v>
      </c>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row>
    <row r="19" customFormat="false" ht="15" hidden="false" customHeight="true" outlineLevel="0" collapsed="false">
      <c r="A19" s="3" t="s">
        <v>174</v>
      </c>
      <c r="B19" s="20" t="n">
        <f aca="false">SUM(B6:BI6)</f>
        <v>0</v>
      </c>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row>
    <row r="20" customFormat="false" ht="15" hidden="false" customHeight="true" outlineLevel="0" collapsed="false">
      <c r="A20" s="3" t="s">
        <v>175</v>
      </c>
      <c r="B20" s="20" t="n">
        <f aca="false">SUM(B7:BI7)</f>
        <v>0</v>
      </c>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row>
    <row r="21" customFormat="false" ht="15" hidden="false" customHeight="true" outlineLevel="0" collapsed="false">
      <c r="A21" s="3" t="s">
        <v>176</v>
      </c>
      <c r="B21" s="20" t="n">
        <f aca="false">SUM(B8:BI8)</f>
        <v>0</v>
      </c>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row>
    <row r="22" customFormat="false" ht="15" hidden="false" customHeight="true" outlineLevel="0" collapsed="false">
      <c r="A22" s="3" t="s">
        <v>177</v>
      </c>
      <c r="B22" s="20" t="n">
        <f aca="false">SUM(B9:BI9)</f>
        <v>0</v>
      </c>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row>
    <row r="23" customFormat="false" ht="27.75" hidden="false" customHeight="true" outlineLevel="0" collapsed="false">
      <c r="A23" s="3" t="s">
        <v>178</v>
      </c>
      <c r="B23" s="20" t="n">
        <f aca="false">SUM(B12:BI12)</f>
        <v>0</v>
      </c>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row>
    <row r="24" customFormat="false" ht="15" hidden="false" customHeight="true" outlineLevel="0" collapsed="false">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row>
    <row r="25" customFormat="false" ht="15" hidden="false" customHeight="true" outlineLevel="0" collapsed="false">
      <c r="A25" s="23" t="s">
        <v>179</v>
      </c>
      <c r="B25" s="23"/>
      <c r="C25" s="23"/>
      <c r="D25" s="23"/>
      <c r="E25" s="23"/>
      <c r="F25" s="23"/>
      <c r="G25" s="23"/>
      <c r="H25" s="23"/>
      <c r="I25" s="23"/>
      <c r="J25" s="23"/>
      <c r="K25" s="23"/>
      <c r="L25" s="23"/>
      <c r="M25" s="23"/>
      <c r="N25" s="23"/>
      <c r="O25" s="23"/>
      <c r="P25" s="23"/>
      <c r="Q25" s="23"/>
      <c r="R25" s="23"/>
      <c r="S25" s="23"/>
      <c r="T25" s="23"/>
      <c r="U25" s="23"/>
      <c r="V25" s="23"/>
      <c r="W25" s="23"/>
      <c r="X25" s="23"/>
      <c r="Y25" s="23"/>
      <c r="Z25" s="23"/>
      <c r="AA25" s="23"/>
      <c r="AB25" s="23"/>
      <c r="AC25" s="23"/>
      <c r="AD25" s="23"/>
      <c r="AE25" s="23"/>
      <c r="AF25" s="23"/>
      <c r="AG25" s="23"/>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row>
    <row r="26" customFormat="false" ht="15" hidden="false" customHeight="true" outlineLevel="0" collapsed="false">
      <c r="A26" s="23"/>
      <c r="B26" s="23"/>
      <c r="C26" s="23"/>
      <c r="D26" s="23"/>
      <c r="E26" s="23"/>
      <c r="F26" s="23"/>
      <c r="G26" s="23"/>
      <c r="H26" s="23"/>
      <c r="I26" s="23"/>
      <c r="J26" s="23"/>
      <c r="K26" s="23"/>
      <c r="L26" s="23"/>
      <c r="M26" s="23"/>
      <c r="N26" s="23"/>
      <c r="O26" s="23"/>
      <c r="P26" s="23"/>
      <c r="Q26" s="23"/>
      <c r="R26" s="23"/>
      <c r="S26" s="23"/>
      <c r="T26" s="23"/>
      <c r="U26" s="23"/>
      <c r="V26" s="23"/>
      <c r="W26" s="23"/>
      <c r="X26" s="23"/>
      <c r="Y26" s="23"/>
      <c r="Z26" s="23"/>
      <c r="AA26" s="23"/>
      <c r="AB26" s="23"/>
      <c r="AC26" s="23"/>
      <c r="AD26" s="23"/>
      <c r="AE26" s="23"/>
      <c r="AF26" s="23"/>
      <c r="AG26" s="23"/>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row>
    <row r="27" customFormat="false" ht="15" hidden="false" customHeight="true" outlineLevel="0" collapsed="false">
      <c r="A27" s="23"/>
      <c r="B27" s="23"/>
      <c r="C27" s="23"/>
      <c r="D27" s="23"/>
      <c r="E27" s="23"/>
      <c r="F27" s="23"/>
      <c r="G27" s="23"/>
      <c r="H27" s="23"/>
      <c r="I27" s="23"/>
      <c r="J27" s="23"/>
      <c r="K27" s="23"/>
      <c r="L27" s="23"/>
      <c r="M27" s="23"/>
      <c r="N27" s="23"/>
      <c r="O27" s="23"/>
      <c r="P27" s="23"/>
      <c r="Q27" s="23"/>
      <c r="R27" s="23"/>
      <c r="S27" s="23"/>
      <c r="T27" s="23"/>
      <c r="U27" s="23"/>
      <c r="V27" s="23"/>
      <c r="W27" s="23"/>
      <c r="X27" s="23"/>
      <c r="Y27" s="23"/>
      <c r="Z27" s="23"/>
      <c r="AA27" s="23"/>
      <c r="AB27" s="23"/>
      <c r="AC27" s="23"/>
      <c r="AD27" s="23"/>
      <c r="AE27" s="23"/>
      <c r="AF27" s="23"/>
      <c r="AG27" s="23"/>
      <c r="AH27" s="23"/>
      <c r="AI27" s="23"/>
      <c r="AJ27" s="23"/>
      <c r="AK27" s="23"/>
      <c r="AL27" s="23"/>
      <c r="AM27" s="23"/>
      <c r="AN27" s="23"/>
      <c r="AO27" s="23"/>
      <c r="AP27" s="23"/>
      <c r="AQ27" s="23"/>
      <c r="AR27" s="23"/>
      <c r="AS27" s="23"/>
      <c r="AT27" s="23"/>
      <c r="AU27" s="23"/>
      <c r="AV27" s="23"/>
      <c r="AW27" s="23"/>
      <c r="AX27" s="23"/>
      <c r="AY27" s="23"/>
      <c r="AZ27" s="23"/>
      <c r="BA27" s="23"/>
      <c r="BB27" s="23"/>
      <c r="BC27" s="23"/>
      <c r="BD27" s="23"/>
      <c r="BE27" s="23"/>
      <c r="BF27" s="23"/>
      <c r="BG27" s="23"/>
      <c r="BH27" s="23"/>
      <c r="BI27" s="23"/>
    </row>
    <row r="28" customFormat="false" ht="15" hidden="false" customHeight="true" outlineLevel="0" collapsed="false">
      <c r="A28" s="23"/>
      <c r="B28" s="23"/>
      <c r="C28" s="23"/>
      <c r="D28" s="23"/>
      <c r="E28" s="23"/>
      <c r="F28" s="23"/>
      <c r="G28" s="23"/>
      <c r="H28" s="23"/>
      <c r="I28" s="23"/>
      <c r="J28" s="23"/>
      <c r="K28" s="23"/>
      <c r="L28" s="23"/>
      <c r="M28" s="23"/>
      <c r="N28" s="23"/>
      <c r="O28" s="23"/>
      <c r="P28" s="23"/>
      <c r="Q28" s="23"/>
      <c r="R28" s="23"/>
      <c r="S28" s="23"/>
      <c r="T28" s="23"/>
      <c r="U28" s="23"/>
      <c r="V28" s="23"/>
      <c r="W28" s="23"/>
      <c r="X28" s="23"/>
      <c r="Y28" s="23"/>
      <c r="Z28" s="23"/>
      <c r="AA28" s="23"/>
      <c r="AB28" s="23"/>
      <c r="AC28" s="23"/>
      <c r="AD28" s="23"/>
      <c r="AE28" s="23"/>
      <c r="AF28" s="23"/>
      <c r="AG28" s="23"/>
      <c r="AH28" s="23"/>
      <c r="AI28" s="23"/>
      <c r="AJ28" s="23"/>
      <c r="AK28" s="23"/>
      <c r="AL28" s="23"/>
      <c r="AM28" s="23"/>
      <c r="AN28" s="23"/>
      <c r="AO28" s="23"/>
      <c r="AP28" s="23"/>
      <c r="AQ28" s="23"/>
      <c r="AR28" s="23"/>
      <c r="AS28" s="23"/>
      <c r="AT28" s="23"/>
      <c r="AU28" s="23"/>
      <c r="AV28" s="23"/>
      <c r="AW28" s="23"/>
      <c r="AX28" s="23"/>
      <c r="AY28" s="23"/>
      <c r="AZ28" s="23"/>
      <c r="BA28" s="23"/>
      <c r="BB28" s="23"/>
      <c r="BC28" s="23"/>
      <c r="BD28" s="23"/>
      <c r="BE28" s="23"/>
      <c r="BF28" s="23"/>
      <c r="BG28" s="23"/>
      <c r="BH28" s="23"/>
      <c r="BI28" s="23"/>
    </row>
    <row r="29" customFormat="false" ht="15" hidden="false" customHeight="true" outlineLevel="0" collapsed="false">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row>
    <row r="30" customFormat="false" ht="15" hidden="false" customHeight="true" outlineLevel="0" collapsed="false">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row>
    <row r="31" customFormat="false" ht="15" hidden="false" customHeight="true" outlineLevel="0" collapsed="false">
      <c r="A31" s="3"/>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row>
    <row r="32" customFormat="false" ht="15" hidden="false" customHeight="true" outlineLevel="0" collapsed="false">
      <c r="A32" s="3"/>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row>
    <row r="33" customFormat="false" ht="15" hidden="false" customHeight="true" outlineLevel="0" collapsed="false">
      <c r="A33" s="3"/>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row>
    <row r="34" customFormat="false" ht="15" hidden="false" customHeight="true" outlineLevel="0" collapsed="false">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row>
    <row r="35" customFormat="false" ht="15" hidden="false" customHeight="true" outlineLevel="0" collapsed="false">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row>
    <row r="36" customFormat="false" ht="15" hidden="false" customHeight="true" outlineLevel="0" collapsed="false">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row>
    <row r="37" customFormat="false" ht="15" hidden="false" customHeight="true" outlineLevel="0" collapsed="false">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row>
    <row r="38" customFormat="false" ht="15" hidden="false" customHeight="true" outlineLevel="0" collapsed="false">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row>
    <row r="39" customFormat="false" ht="15" hidden="false" customHeight="true" outlineLevel="0" collapsed="false">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row>
    <row r="40" customFormat="false" ht="15" hidden="false" customHeight="true" outlineLevel="0" collapsed="false">
      <c r="A40" s="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row>
    <row r="41" customFormat="false" ht="15" hidden="false" customHeight="true" outlineLevel="0" collapsed="false">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row>
    <row r="42" customFormat="false" ht="15" hidden="false" customHeight="true" outlineLevel="0" collapsed="false">
      <c r="A42" s="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row>
    <row r="43" customFormat="false" ht="15" hidden="false" customHeight="true" outlineLevel="0" collapsed="false">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row>
    <row r="44" customFormat="false" ht="15" hidden="false" customHeight="true" outlineLevel="0" collapsed="false">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row>
    <row r="45" customFormat="false" ht="15" hidden="false" customHeight="true" outlineLevel="0" collapsed="false">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row>
    <row r="46" customFormat="false" ht="15" hidden="false" customHeight="true" outlineLevel="0" collapsed="false">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row>
    <row r="47" customFormat="false" ht="1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row>
    <row r="48" customFormat="false" ht="15" hidden="false" customHeight="true" outlineLevel="0" collapsed="false">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row>
    <row r="49" customFormat="false" ht="15" hidden="false" customHeight="true" outlineLevel="0" collapsed="false">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row>
    <row r="50" customFormat="false" ht="15" hidden="false" customHeight="true" outlineLevel="0" collapsed="false">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row>
    <row r="51" customFormat="false" ht="15" hidden="false" customHeight="true" outlineLevel="0" collapsed="false">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row>
    <row r="52" customFormat="false" ht="15" hidden="false" customHeight="true" outlineLevel="0" collapsed="false">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row>
    <row r="53" customFormat="false" ht="15" hidden="false" customHeight="true" outlineLevel="0" collapsed="false">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row>
    <row r="54" customFormat="false" ht="15" hidden="false" customHeight="true" outlineLevel="0" collapsed="false">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row>
    <row r="55" customFormat="false" ht="15" hidden="false" customHeight="true" outlineLevel="0" collapsed="false">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row>
    <row r="56" customFormat="false" ht="15" hidden="false" customHeight="true" outlineLevel="0" collapsed="false">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row>
    <row r="57" customFormat="false" ht="15" hidden="false" customHeight="tru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row>
    <row r="58" customFormat="false" ht="15" hidden="false" customHeight="true" outlineLevel="0" collapsed="false">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row>
    <row r="59" customFormat="false" ht="15" hidden="false" customHeight="true" outlineLevel="0" collapsed="false">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row>
    <row r="60" customFormat="false" ht="15" hidden="false" customHeight="true" outlineLevel="0" collapsed="false">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row>
    <row r="61" customFormat="false" ht="15" hidden="false" customHeight="true" outlineLevel="0" collapsed="false">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row>
    <row r="62" customFormat="false" ht="15" hidden="false" customHeight="true" outlineLevel="0" collapsed="false">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row>
    <row r="63" customFormat="false" ht="15" hidden="false" customHeight="true" outlineLevel="0" collapsed="false">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row>
    <row r="64" customFormat="false" ht="15" hidden="false" customHeight="true" outlineLevel="0" collapsed="false">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row>
    <row r="65" customFormat="false" ht="15" hidden="false" customHeight="true" outlineLevel="0" collapsed="false">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row>
    <row r="66" customFormat="false" ht="15" hidden="false" customHeight="true" outlineLevel="0" collapsed="false">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row>
    <row r="67" customFormat="false" ht="15" hidden="false" customHeight="true" outlineLevel="0" collapsed="false">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row>
    <row r="68" customFormat="false" ht="15" hidden="false" customHeight="true" outlineLevel="0" collapsed="false">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row>
    <row r="69" customFormat="false" ht="15" hidden="false" customHeight="true" outlineLevel="0" collapsed="false">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row>
    <row r="70" customFormat="false" ht="15" hidden="false" customHeight="true" outlineLevel="0" collapsed="false">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row>
    <row r="71" customFormat="false" ht="15" hidden="false" customHeight="true" outlineLevel="0" collapsed="false">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row>
    <row r="72" customFormat="false" ht="15" hidden="false" customHeight="true" outlineLevel="0" collapsed="false">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row>
    <row r="73" customFormat="false" ht="15" hidden="false" customHeight="true" outlineLevel="0" collapsed="false">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row>
    <row r="74" customFormat="false" ht="15" hidden="false" customHeight="true" outlineLevel="0" collapsed="false">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row>
    <row r="75" customFormat="false" ht="15" hidden="false" customHeight="true" outlineLevel="0" collapsed="false">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row>
    <row r="76" customFormat="false" ht="15" hidden="false" customHeight="true" outlineLevel="0" collapsed="false">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row>
    <row r="77" customFormat="false" ht="15" hidden="false" customHeight="true" outlineLevel="0" collapsed="false">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row>
    <row r="78" customFormat="false" ht="15" hidden="false" customHeight="true" outlineLevel="0" collapsed="false">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row>
    <row r="79" customFormat="false" ht="15" hidden="false" customHeight="true" outlineLevel="0" collapsed="false">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row>
    <row r="80" customFormat="false" ht="15" hidden="false" customHeight="true" outlineLevel="0" collapsed="false">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row>
    <row r="81" customFormat="false" ht="15" hidden="false" customHeight="true" outlineLevel="0" collapsed="false">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row>
    <row r="82" customFormat="false" ht="15" hidden="false" customHeight="true" outlineLevel="0" collapsed="false">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row>
    <row r="83" customFormat="false" ht="15" hidden="false" customHeight="true" outlineLevel="0" collapsed="false">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row>
    <row r="84" customFormat="false" ht="15" hidden="false" customHeight="true" outlineLevel="0" collapsed="false">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row>
    <row r="85" customFormat="false" ht="15" hidden="false" customHeight="true" outlineLevel="0" collapsed="false">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row>
    <row r="86" customFormat="false" ht="15" hidden="false" customHeight="true" outlineLevel="0" collapsed="false">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row>
    <row r="87" customFormat="false" ht="15" hidden="false" customHeight="true" outlineLevel="0" collapsed="false">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row>
    <row r="88" customFormat="false" ht="15" hidden="false" customHeight="true" outlineLevel="0" collapsed="false">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row>
    <row r="89" customFormat="false" ht="15" hidden="false" customHeight="true" outlineLevel="0" collapsed="false">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row>
    <row r="90" customFormat="false" ht="15" hidden="false" customHeight="true" outlineLevel="0" collapsed="false">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row>
    <row r="91" customFormat="false" ht="15" hidden="false" customHeight="true" outlineLevel="0" collapsed="false">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row>
    <row r="92" customFormat="false" ht="15" hidden="false" customHeight="true" outlineLevel="0" collapsed="false">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row>
    <row r="93" customFormat="false" ht="15" hidden="false" customHeight="true" outlineLevel="0" collapsed="false">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row>
    <row r="94" customFormat="false" ht="15" hidden="false" customHeight="true" outlineLevel="0" collapsed="false">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row>
    <row r="95" customFormat="false" ht="15" hidden="false" customHeight="true" outlineLevel="0" collapsed="false">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row>
    <row r="96" customFormat="false" ht="15" hidden="false" customHeight="true" outlineLevel="0" collapsed="false">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row>
    <row r="97" customFormat="false" ht="15" hidden="false" customHeight="true" outlineLevel="0" collapsed="false">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row>
    <row r="98" customFormat="false" ht="15" hidden="false" customHeight="true" outlineLevel="0" collapsed="false">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row>
    <row r="99" customFormat="false" ht="15" hidden="false" customHeight="true" outlineLevel="0" collapsed="false">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row>
    <row r="100" customFormat="false" ht="15" hidden="false" customHeight="true" outlineLevel="0" collapsed="false">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row>
  </sheetData>
  <mergeCells count="2">
    <mergeCell ref="A1:BI1"/>
    <mergeCell ref="A25:BI2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I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8" min="1" style="1" width="22"/>
  </cols>
  <sheetData>
    <row r="1" customFormat="false" ht="30" hidden="false" customHeight="true" outlineLevel="0" collapsed="false">
      <c r="A1" s="2" t="s">
        <v>180</v>
      </c>
      <c r="B1" s="2"/>
      <c r="C1" s="2"/>
      <c r="D1" s="2"/>
      <c r="E1" s="2"/>
      <c r="F1" s="2"/>
      <c r="G1" s="2"/>
      <c r="H1" s="2"/>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row>
    <row r="2" customFormat="false" ht="15" hidden="false" customHeight="true" outlineLevel="0" collapsed="false">
      <c r="A2" s="3"/>
      <c r="B2" s="3"/>
      <c r="C2" s="3"/>
      <c r="D2" s="3"/>
      <c r="E2" s="3"/>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row>
    <row r="3" customFormat="false" ht="15" hidden="false" customHeight="true" outlineLevel="0" collapsed="false">
      <c r="A3" s="9" t="s">
        <v>181</v>
      </c>
      <c r="B3" s="9" t="s">
        <v>105</v>
      </c>
      <c r="C3" s="9" t="s">
        <v>25</v>
      </c>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row>
    <row r="4" customFormat="false" ht="41.25" hidden="false" customHeight="true" outlineLevel="0" collapsed="false">
      <c r="A4" s="3" t="s">
        <v>182</v>
      </c>
      <c r="B4" s="20" t="n">
        <f aca="false">SUM('DCF Model'!B4:BI4)</f>
        <v>0</v>
      </c>
      <c r="C4" s="3" t="s">
        <v>183</v>
      </c>
      <c r="D4" s="3"/>
      <c r="E4" s="3"/>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row>
    <row r="5" customFormat="false" ht="27.75" hidden="false" customHeight="true" outlineLevel="0" collapsed="false">
      <c r="A5" s="3" t="s">
        <v>184</v>
      </c>
      <c r="B5" s="20" t="n">
        <f aca="false">SUM('DCF Model'!B5:BI5)</f>
        <v>0</v>
      </c>
      <c r="C5" s="3" t="s">
        <v>185</v>
      </c>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row>
    <row r="6" customFormat="false" ht="27.75" hidden="false" customHeight="true" outlineLevel="0" collapsed="false">
      <c r="A6" s="3" t="s">
        <v>186</v>
      </c>
      <c r="B6" s="20" t="n">
        <f aca="false">SUM('DCF Model'!B6:BI6)</f>
        <v>0</v>
      </c>
      <c r="C6" s="3" t="s">
        <v>185</v>
      </c>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row>
    <row r="7" customFormat="false" ht="27.75" hidden="false" customHeight="true" outlineLevel="0" collapsed="false">
      <c r="A7" s="3" t="s">
        <v>187</v>
      </c>
      <c r="B7" s="20" t="n">
        <f aca="false">SUM('DCF Model'!B7:BI7)</f>
        <v>0</v>
      </c>
      <c r="C7" s="3" t="s">
        <v>185</v>
      </c>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row>
    <row r="8" customFormat="false" ht="15" hidden="false" customHeight="true" outlineLevel="0" collapsed="false">
      <c r="A8" s="3" t="s">
        <v>188</v>
      </c>
      <c r="B8" s="20" t="n">
        <f aca="false">SUM('DCF Model'!B8:BI8)</f>
        <v>0</v>
      </c>
      <c r="C8" s="3" t="s">
        <v>185</v>
      </c>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row>
    <row r="9" customFormat="false" ht="27.75" hidden="false" customHeight="true" outlineLevel="0" collapsed="false">
      <c r="A9" s="3" t="s">
        <v>189</v>
      </c>
      <c r="B9" s="20" t="n">
        <f aca="false">SUM('DCF Model'!B9:BI9)</f>
        <v>0</v>
      </c>
      <c r="C9" s="3" t="s">
        <v>185</v>
      </c>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row>
    <row r="10" customFormat="false" ht="27.75" hidden="false" customHeight="true" outlineLevel="0" collapsed="false">
      <c r="A10" s="3" t="s">
        <v>190</v>
      </c>
      <c r="B10" s="20" t="n">
        <f aca="false">'DCF Model'!B23</f>
        <v>0</v>
      </c>
      <c r="C10" s="3" t="s">
        <v>191</v>
      </c>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row>
    <row r="11" customFormat="false" ht="27.75" hidden="false" customHeight="true" outlineLevel="0" collapsed="false">
      <c r="A11" s="3" t="s">
        <v>192</v>
      </c>
      <c r="B11" s="17" t="n">
        <f aca="false">IF(B4&gt;0,1-B10/B4,0)</f>
        <v>0</v>
      </c>
      <c r="C11" s="3" t="s">
        <v>193</v>
      </c>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row>
    <row r="12" customFormat="false" ht="27.75" hidden="false" customHeight="true" outlineLevel="0" collapsed="false">
      <c r="A12" s="3" t="s">
        <v>194</v>
      </c>
      <c r="B12" s="24" t="n">
        <f aca="false">IFERROR(LOOKUP(2,1/('Absorption Schedule'!D4:D63&gt;0),'Absorption Schedule'!A4:A63),0)</f>
        <v>0</v>
      </c>
      <c r="C12" s="3" t="s">
        <v>195</v>
      </c>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row>
    <row r="13" customFormat="false" ht="27.75" hidden="false" customHeight="true" outlineLevel="0" collapsed="false">
      <c r="A13" s="3" t="s">
        <v>153</v>
      </c>
      <c r="B13" s="17" t="n">
        <f aca="false">'Discount Rate Support'!C13</f>
        <v>0</v>
      </c>
      <c r="C13" s="3" t="s">
        <v>196</v>
      </c>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row>
    <row r="14" customFormat="false" ht="27.75" hidden="false" customHeight="true" outlineLevel="0" collapsed="false">
      <c r="A14" s="3" t="s">
        <v>85</v>
      </c>
      <c r="B14" s="25" t="n">
        <f aca="false">'Market Assumptions'!B6</f>
        <v>0</v>
      </c>
      <c r="C14" s="3" t="s">
        <v>197</v>
      </c>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row>
    <row r="15" customFormat="false" ht="15" hidden="false" customHeight="true" outlineLevel="0" collapsed="false">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row>
    <row r="16" customFormat="false" ht="15" hidden="false" customHeight="true" outlineLevel="0" collapsed="false">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row>
    <row r="17" customFormat="false" ht="15" hidden="false" customHeight="true" outlineLevel="0" collapsed="false">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row>
    <row r="18" customFormat="false" ht="15" hidden="false" customHeight="true" outlineLevel="0" collapsed="false">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row>
    <row r="19" customFormat="false" ht="15" hidden="false" customHeight="true" outlineLevel="0" collapsed="false">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row>
    <row r="20" customFormat="false" ht="15" hidden="false" customHeight="true" outlineLevel="0" collapsed="false">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row>
    <row r="21" customFormat="false" ht="15" hidden="false" customHeight="true" outlineLevel="0" collapsed="false">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row>
    <row r="22" customFormat="false" ht="15" hidden="false" customHeight="true" outlineLevel="0" collapsed="false">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row>
    <row r="23" customFormat="false" ht="15" hidden="false" customHeight="true" outlineLevel="0" collapsed="false">
      <c r="A23" s="3"/>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row>
    <row r="24" customFormat="false" ht="15" hidden="false" customHeight="true" outlineLevel="0" collapsed="false">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row>
    <row r="25" customFormat="false" ht="15" hidden="false" customHeight="true" outlineLevel="0" collapsed="false">
      <c r="A25" s="3"/>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row>
    <row r="26" customFormat="false" ht="15" hidden="false" customHeight="true" outlineLevel="0" collapsed="false">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row>
    <row r="27" customFormat="false" ht="15" hidden="false" customHeight="true" outlineLevel="0" collapsed="false">
      <c r="A27" s="3"/>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row>
    <row r="28" customFormat="false" ht="15" hidden="false" customHeight="true" outlineLevel="0" collapsed="false">
      <c r="A28" s="3"/>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row>
    <row r="29" customFormat="false" ht="15" hidden="false" customHeight="true" outlineLevel="0" collapsed="false">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row>
    <row r="30" customFormat="false" ht="15" hidden="false" customHeight="true" outlineLevel="0" collapsed="false">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row>
    <row r="31" customFormat="false" ht="15" hidden="false" customHeight="true" outlineLevel="0" collapsed="false">
      <c r="A31" s="3"/>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row>
    <row r="32" customFormat="false" ht="15" hidden="false" customHeight="true" outlineLevel="0" collapsed="false">
      <c r="A32" s="3"/>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row>
    <row r="33" customFormat="false" ht="15" hidden="false" customHeight="true" outlineLevel="0" collapsed="false">
      <c r="A33" s="3"/>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row>
    <row r="34" customFormat="false" ht="15" hidden="false" customHeight="true" outlineLevel="0" collapsed="false">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row>
    <row r="35" customFormat="false" ht="15" hidden="false" customHeight="true" outlineLevel="0" collapsed="false">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row>
    <row r="36" customFormat="false" ht="15" hidden="false" customHeight="true" outlineLevel="0" collapsed="false">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row>
    <row r="37" customFormat="false" ht="15" hidden="false" customHeight="true" outlineLevel="0" collapsed="false">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row>
    <row r="38" customFormat="false" ht="15" hidden="false" customHeight="true" outlineLevel="0" collapsed="false">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row>
    <row r="39" customFormat="false" ht="15" hidden="false" customHeight="true" outlineLevel="0" collapsed="false">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row>
    <row r="40" customFormat="false" ht="15" hidden="false" customHeight="true" outlineLevel="0" collapsed="false">
      <c r="A40" s="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row>
    <row r="41" customFormat="false" ht="15" hidden="false" customHeight="true" outlineLevel="0" collapsed="false">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row>
    <row r="42" customFormat="false" ht="15" hidden="false" customHeight="true" outlineLevel="0" collapsed="false">
      <c r="A42" s="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row>
    <row r="43" customFormat="false" ht="15" hidden="false" customHeight="true" outlineLevel="0" collapsed="false">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row>
    <row r="44" customFormat="false" ht="15" hidden="false" customHeight="true" outlineLevel="0" collapsed="false">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row>
    <row r="45" customFormat="false" ht="15" hidden="false" customHeight="true" outlineLevel="0" collapsed="false">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row>
    <row r="46" customFormat="false" ht="15" hidden="false" customHeight="true" outlineLevel="0" collapsed="false">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row>
    <row r="47" customFormat="false" ht="1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row>
    <row r="48" customFormat="false" ht="15" hidden="false" customHeight="true" outlineLevel="0" collapsed="false">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row>
    <row r="49" customFormat="false" ht="15" hidden="false" customHeight="true" outlineLevel="0" collapsed="false">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row>
    <row r="50" customFormat="false" ht="15" hidden="false" customHeight="true" outlineLevel="0" collapsed="false">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row>
    <row r="51" customFormat="false" ht="15" hidden="false" customHeight="true" outlineLevel="0" collapsed="false">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row>
    <row r="52" customFormat="false" ht="15" hidden="false" customHeight="true" outlineLevel="0" collapsed="false">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row>
    <row r="53" customFormat="false" ht="15" hidden="false" customHeight="true" outlineLevel="0" collapsed="false">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row>
    <row r="54" customFormat="false" ht="15" hidden="false" customHeight="true" outlineLevel="0" collapsed="false">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row>
    <row r="55" customFormat="false" ht="15" hidden="false" customHeight="true" outlineLevel="0" collapsed="false">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row>
    <row r="56" customFormat="false" ht="15" hidden="false" customHeight="true" outlineLevel="0" collapsed="false">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row>
    <row r="57" customFormat="false" ht="15" hidden="false" customHeight="tru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row>
    <row r="58" customFormat="false" ht="15" hidden="false" customHeight="true" outlineLevel="0" collapsed="false">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row>
    <row r="59" customFormat="false" ht="15" hidden="false" customHeight="true" outlineLevel="0" collapsed="false">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row>
    <row r="60" customFormat="false" ht="15" hidden="false" customHeight="true" outlineLevel="0" collapsed="false">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row>
    <row r="61" customFormat="false" ht="15" hidden="false" customHeight="true" outlineLevel="0" collapsed="false">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row>
    <row r="62" customFormat="false" ht="15" hidden="false" customHeight="true" outlineLevel="0" collapsed="false">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row>
    <row r="63" customFormat="false" ht="15" hidden="false" customHeight="true" outlineLevel="0" collapsed="false">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row>
    <row r="64" customFormat="false" ht="15" hidden="false" customHeight="true" outlineLevel="0" collapsed="false">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row>
    <row r="65" customFormat="false" ht="15" hidden="false" customHeight="true" outlineLevel="0" collapsed="false">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row>
    <row r="66" customFormat="false" ht="15" hidden="false" customHeight="true" outlineLevel="0" collapsed="false">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row>
    <row r="67" customFormat="false" ht="15" hidden="false" customHeight="true" outlineLevel="0" collapsed="false">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row>
    <row r="68" customFormat="false" ht="15" hidden="false" customHeight="true" outlineLevel="0" collapsed="false">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row>
    <row r="69" customFormat="false" ht="15" hidden="false" customHeight="true" outlineLevel="0" collapsed="false">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row>
    <row r="70" customFormat="false" ht="15" hidden="false" customHeight="true" outlineLevel="0" collapsed="false">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row>
    <row r="71" customFormat="false" ht="15" hidden="false" customHeight="true" outlineLevel="0" collapsed="false">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row>
    <row r="72" customFormat="false" ht="15" hidden="false" customHeight="true" outlineLevel="0" collapsed="false">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row>
    <row r="73" customFormat="false" ht="15" hidden="false" customHeight="true" outlineLevel="0" collapsed="false">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row>
    <row r="74" customFormat="false" ht="15" hidden="false" customHeight="true" outlineLevel="0" collapsed="false">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row>
    <row r="75" customFormat="false" ht="15" hidden="false" customHeight="true" outlineLevel="0" collapsed="false">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row>
    <row r="76" customFormat="false" ht="15" hidden="false" customHeight="true" outlineLevel="0" collapsed="false">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row>
    <row r="77" customFormat="false" ht="15" hidden="false" customHeight="true" outlineLevel="0" collapsed="false">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row>
    <row r="78" customFormat="false" ht="15" hidden="false" customHeight="true" outlineLevel="0" collapsed="false">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row>
    <row r="79" customFormat="false" ht="15" hidden="false" customHeight="true" outlineLevel="0" collapsed="false">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row>
    <row r="80" customFormat="false" ht="15" hidden="false" customHeight="true" outlineLevel="0" collapsed="false">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row>
    <row r="81" customFormat="false" ht="15" hidden="false" customHeight="true" outlineLevel="0" collapsed="false">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row>
    <row r="82" customFormat="false" ht="15" hidden="false" customHeight="true" outlineLevel="0" collapsed="false">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row>
    <row r="83" customFormat="false" ht="15" hidden="false" customHeight="true" outlineLevel="0" collapsed="false">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row>
    <row r="84" customFormat="false" ht="15" hidden="false" customHeight="true" outlineLevel="0" collapsed="false">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row>
    <row r="85" customFormat="false" ht="15" hidden="false" customHeight="true" outlineLevel="0" collapsed="false">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row>
    <row r="86" customFormat="false" ht="15" hidden="false" customHeight="true" outlineLevel="0" collapsed="false">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row>
    <row r="87" customFormat="false" ht="15" hidden="false" customHeight="true" outlineLevel="0" collapsed="false">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row>
    <row r="88" customFormat="false" ht="15" hidden="false" customHeight="true" outlineLevel="0" collapsed="false">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row>
    <row r="89" customFormat="false" ht="15" hidden="false" customHeight="true" outlineLevel="0" collapsed="false">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row>
    <row r="90" customFormat="false" ht="15" hidden="false" customHeight="true" outlineLevel="0" collapsed="false">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row>
    <row r="91" customFormat="false" ht="15" hidden="false" customHeight="true" outlineLevel="0" collapsed="false">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row>
    <row r="92" customFormat="false" ht="15" hidden="false" customHeight="true" outlineLevel="0" collapsed="false">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row>
    <row r="93" customFormat="false" ht="15" hidden="false" customHeight="true" outlineLevel="0" collapsed="false">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row>
    <row r="94" customFormat="false" ht="15" hidden="false" customHeight="true" outlineLevel="0" collapsed="false">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row>
    <row r="95" customFormat="false" ht="15" hidden="false" customHeight="true" outlineLevel="0" collapsed="false">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row>
    <row r="96" customFormat="false" ht="15" hidden="false" customHeight="true" outlineLevel="0" collapsed="false">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row>
    <row r="97" customFormat="false" ht="15" hidden="false" customHeight="true" outlineLevel="0" collapsed="false">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row>
    <row r="98" customFormat="false" ht="15" hidden="false" customHeight="true" outlineLevel="0" collapsed="false">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row>
    <row r="99" customFormat="false" ht="15" hidden="false" customHeight="true" outlineLevel="0" collapsed="false">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row>
    <row r="100" customFormat="false" ht="15" hidden="false" customHeight="true" outlineLevel="0" collapsed="false">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row>
  </sheetData>
  <mergeCells count="1">
    <mergeCell ref="A1:H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I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8" min="1" style="1" width="22"/>
  </cols>
  <sheetData>
    <row r="1" customFormat="false" ht="30" hidden="false" customHeight="true" outlineLevel="0" collapsed="false">
      <c r="A1" s="2" t="s">
        <v>198</v>
      </c>
      <c r="B1" s="2"/>
      <c r="C1" s="2"/>
      <c r="D1" s="2"/>
      <c r="E1" s="2"/>
      <c r="F1" s="2"/>
      <c r="G1" s="2"/>
      <c r="H1" s="2"/>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row>
    <row r="2" customFormat="false" ht="15" hidden="false" customHeight="true" outlineLevel="0" collapsed="false">
      <c r="A2" s="3"/>
      <c r="B2" s="3"/>
      <c r="C2" s="3"/>
      <c r="D2" s="3"/>
      <c r="E2" s="3"/>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row>
    <row r="3" customFormat="false" ht="21.75" hidden="false" customHeight="true" outlineLevel="0" collapsed="false">
      <c r="A3" s="8" t="s">
        <v>199</v>
      </c>
      <c r="B3" s="8"/>
      <c r="C3" s="8"/>
      <c r="D3" s="8"/>
      <c r="E3" s="8"/>
      <c r="F3" s="8"/>
      <c r="G3" s="8"/>
      <c r="H3" s="8"/>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row>
    <row r="4" customFormat="false" ht="15" hidden="false" customHeight="true" outlineLevel="0" collapsed="false">
      <c r="A4" s="9" t="s">
        <v>200</v>
      </c>
      <c r="B4" s="9" t="s">
        <v>201</v>
      </c>
      <c r="C4" s="3"/>
      <c r="D4" s="3"/>
      <c r="E4" s="3"/>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row>
    <row r="5" customFormat="false" ht="15" hidden="false" customHeight="true" outlineLevel="0" collapsed="false">
      <c r="A5" s="26" t="n">
        <v>-0.02</v>
      </c>
      <c r="B5" s="20" t="n">
        <f aca="false">SUMPRODUCT('DCF Model'!$B$10:$BI$10,1/(1+('Discount Rate Support'!$C$13+A5)/12)^'DCF Model'!$B$3:$BI$3)</f>
        <v>0</v>
      </c>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row>
    <row r="6" customFormat="false" ht="15" hidden="false" customHeight="true" outlineLevel="0" collapsed="false">
      <c r="A6" s="26" t="n">
        <v>-0.01</v>
      </c>
      <c r="B6" s="20" t="n">
        <f aca="false">SUMPRODUCT('DCF Model'!$B$10:$BI$10,1/(1+('Discount Rate Support'!$C$13+A6)/12)^'DCF Model'!$B$3:$BI$3)</f>
        <v>0</v>
      </c>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row>
    <row r="7" customFormat="false" ht="15" hidden="false" customHeight="true" outlineLevel="0" collapsed="false">
      <c r="A7" s="26" t="n">
        <v>0</v>
      </c>
      <c r="B7" s="20" t="n">
        <f aca="false">SUMPRODUCT('DCF Model'!$B$10:$BI$10,1/(1+('Discount Rate Support'!$C$13+A7)/12)^'DCF Model'!$B$3:$BI$3)</f>
        <v>0</v>
      </c>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row>
    <row r="8" customFormat="false" ht="15" hidden="false" customHeight="true" outlineLevel="0" collapsed="false">
      <c r="A8" s="26" t="n">
        <v>0.01</v>
      </c>
      <c r="B8" s="20" t="n">
        <f aca="false">SUMPRODUCT('DCF Model'!$B$10:$BI$10,1/(1+('Discount Rate Support'!$C$13+A8)/12)^'DCF Model'!$B$3:$BI$3)</f>
        <v>0</v>
      </c>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row>
    <row r="9" customFormat="false" ht="15" hidden="false" customHeight="true" outlineLevel="0" collapsed="false">
      <c r="A9" s="26" t="n">
        <v>0.02</v>
      </c>
      <c r="B9" s="20" t="n">
        <f aca="false">SUMPRODUCT('DCF Model'!$B$10:$BI$10,1/(1+('Discount Rate Support'!$C$13+A9)/12)^'DCF Model'!$B$3:$BI$3)</f>
        <v>0</v>
      </c>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row>
    <row r="10" customFormat="false" ht="15" hidden="false" customHeight="true" outlineLevel="0" collapsed="false">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row>
    <row r="11" customFormat="false" ht="15" hidden="false" customHeight="true" outlineLevel="0" collapsed="false">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row>
    <row r="12" customFormat="false" ht="21.75" hidden="false" customHeight="true" outlineLevel="0" collapsed="false">
      <c r="A12" s="8" t="s">
        <v>202</v>
      </c>
      <c r="B12" s="8"/>
      <c r="C12" s="8"/>
      <c r="D12" s="8"/>
      <c r="E12" s="8"/>
      <c r="F12" s="8"/>
      <c r="G12" s="8"/>
      <c r="H12" s="8"/>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row>
    <row r="13" customFormat="false" ht="15" hidden="false" customHeight="true" outlineLevel="0" collapsed="false">
      <c r="A13" s="9" t="s">
        <v>203</v>
      </c>
      <c r="B13" s="9" t="s">
        <v>201</v>
      </c>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row>
    <row r="14" customFormat="false" ht="15" hidden="false" customHeight="true" outlineLevel="0" collapsed="false">
      <c r="A14" s="26" t="n">
        <v>-0.1</v>
      </c>
      <c r="B14" s="20" t="n">
        <f aca="false">SUMPRODUCT(('DCF Model'!$B$4:$BI$4*(1+A14)-'DCF Model'!$B$5:$BI$5-'DCF Model'!$B$6:$BI$6-('DCF Model'!$B$4:$BI$4*(1+A14)*'Market Assumptions'!$B$7)-'DCF Model'!$B$8:$BI$8-('DCF Model'!$B$4:$BI$4*(1+A14)*'Market Assumptions'!$B$8)), 'DCF Model'!$B$11:$BI$11)</f>
        <v>0</v>
      </c>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row>
    <row r="15" customFormat="false" ht="15" hidden="false" customHeight="true" outlineLevel="0" collapsed="false">
      <c r="A15" s="26" t="n">
        <v>-0.05</v>
      </c>
      <c r="B15" s="20" t="n">
        <f aca="false">SUMPRODUCT(('DCF Model'!$B$4:$BI$4*(1+A15)-'DCF Model'!$B$5:$BI$5-'DCF Model'!$B$6:$BI$6-('DCF Model'!$B$4:$BI$4*(1+A15)*'Market Assumptions'!$B$7)-'DCF Model'!$B$8:$BI$8-('DCF Model'!$B$4:$BI$4*(1+A15)*'Market Assumptions'!$B$8)), 'DCF Model'!$B$11:$BI$11)</f>
        <v>0</v>
      </c>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row>
    <row r="16" customFormat="false" ht="15" hidden="false" customHeight="true" outlineLevel="0" collapsed="false">
      <c r="A16" s="26" t="n">
        <v>0</v>
      </c>
      <c r="B16" s="20" t="n">
        <f aca="false">SUMPRODUCT(('DCF Model'!$B$4:$BI$4*(1+A16)-'DCF Model'!$B$5:$BI$5-'DCF Model'!$B$6:$BI$6-('DCF Model'!$B$4:$BI$4*(1+A16)*'Market Assumptions'!$B$7)-'DCF Model'!$B$8:$BI$8-('DCF Model'!$B$4:$BI$4*(1+A16)*'Market Assumptions'!$B$8)), 'DCF Model'!$B$11:$BI$11)</f>
        <v>0</v>
      </c>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row>
    <row r="17" customFormat="false" ht="15" hidden="false" customHeight="true" outlineLevel="0" collapsed="false">
      <c r="A17" s="26" t="n">
        <v>0.05</v>
      </c>
      <c r="B17" s="20" t="n">
        <f aca="false">SUMPRODUCT(('DCF Model'!$B$4:$BI$4*(1+A17)-'DCF Model'!$B$5:$BI$5-'DCF Model'!$B$6:$BI$6-('DCF Model'!$B$4:$BI$4*(1+A17)*'Market Assumptions'!$B$7)-'DCF Model'!$B$8:$BI$8-('DCF Model'!$B$4:$BI$4*(1+A17)*'Market Assumptions'!$B$8)), 'DCF Model'!$B$11:$BI$11)</f>
        <v>0</v>
      </c>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row>
    <row r="18" customFormat="false" ht="15" hidden="false" customHeight="true" outlineLevel="0" collapsed="false">
      <c r="A18" s="26" t="n">
        <v>0.1</v>
      </c>
      <c r="B18" s="20" t="n">
        <f aca="false">SUMPRODUCT(('DCF Model'!$B$4:$BI$4*(1+A18)-'DCF Model'!$B$5:$BI$5-'DCF Model'!$B$6:$BI$6-('DCF Model'!$B$4:$BI$4*(1+A18)*'Market Assumptions'!$B$7)-'DCF Model'!$B$8:$BI$8-('DCF Model'!$B$4:$BI$4*(1+A18)*'Market Assumptions'!$B$8)), 'DCF Model'!$B$11:$BI$11)</f>
        <v>0</v>
      </c>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row>
    <row r="19" customFormat="false" ht="15" hidden="false" customHeight="true" outlineLevel="0" collapsed="false">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row>
    <row r="20" customFormat="false" ht="15" hidden="false" customHeight="true" outlineLevel="0" collapsed="false">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row>
    <row r="21" customFormat="false" ht="21.75" hidden="false" customHeight="true" outlineLevel="0" collapsed="false">
      <c r="A21" s="8" t="s">
        <v>204</v>
      </c>
      <c r="B21" s="8"/>
      <c r="C21" s="8"/>
      <c r="D21" s="8"/>
      <c r="E21" s="8"/>
      <c r="F21" s="8"/>
      <c r="G21" s="8"/>
      <c r="H21" s="8"/>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row>
    <row r="22" customFormat="false" ht="15" hidden="false" customHeight="true" outlineLevel="0" collapsed="false">
      <c r="A22" s="9" t="s">
        <v>205</v>
      </c>
      <c r="B22" s="9" t="s">
        <v>206</v>
      </c>
      <c r="C22" s="9" t="s">
        <v>61</v>
      </c>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row>
    <row r="23" customFormat="false" ht="54.75" hidden="false" customHeight="true" outlineLevel="0" collapsed="false">
      <c r="A23" s="3" t="s">
        <v>207</v>
      </c>
      <c r="B23" s="3" t="s">
        <v>208</v>
      </c>
      <c r="C23" s="1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row>
    <row r="24" customFormat="false" ht="15" hidden="false" customHeight="true" outlineLevel="0" collapsed="false">
      <c r="A24" s="3" t="s">
        <v>209</v>
      </c>
      <c r="B24" s="3" t="s">
        <v>210</v>
      </c>
      <c r="C24" s="13" t="n">
        <f aca="false">'Bulk Sale Analysis'!B11</f>
        <v>0</v>
      </c>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row>
    <row r="25" customFormat="false" ht="54.75" hidden="false" customHeight="true" outlineLevel="0" collapsed="false">
      <c r="A25" s="3" t="s">
        <v>211</v>
      </c>
      <c r="B25" s="3" t="s">
        <v>212</v>
      </c>
      <c r="C25" s="1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row>
    <row r="26" customFormat="false" ht="81.75" hidden="false" customHeight="true" outlineLevel="0" collapsed="false">
      <c r="A26" s="3" t="s">
        <v>213</v>
      </c>
      <c r="B26" s="3" t="s">
        <v>214</v>
      </c>
      <c r="C26" s="5"/>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row>
    <row r="27" customFormat="false" ht="15" hidden="false" customHeight="true" outlineLevel="0" collapsed="false">
      <c r="A27" s="3" t="s">
        <v>215</v>
      </c>
      <c r="B27" s="3"/>
      <c r="C27" s="5"/>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row>
    <row r="28" customFormat="false" ht="15" hidden="false" customHeight="true" outlineLevel="0" collapsed="false">
      <c r="A28" s="3"/>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row>
    <row r="29" customFormat="false" ht="15" hidden="false" customHeight="true" outlineLevel="0" collapsed="false">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row>
    <row r="30" customFormat="false" ht="15" hidden="false" customHeight="true" outlineLevel="0" collapsed="false">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row>
    <row r="31" customFormat="false" ht="15" hidden="false" customHeight="true" outlineLevel="0" collapsed="false">
      <c r="A31" s="3"/>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row>
    <row r="32" customFormat="false" ht="15" hidden="false" customHeight="true" outlineLevel="0" collapsed="false">
      <c r="A32" s="3"/>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row>
    <row r="33" customFormat="false" ht="15" hidden="false" customHeight="true" outlineLevel="0" collapsed="false">
      <c r="A33" s="3"/>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row>
    <row r="34" customFormat="false" ht="15" hidden="false" customHeight="true" outlineLevel="0" collapsed="false">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row>
    <row r="35" customFormat="false" ht="15" hidden="false" customHeight="true" outlineLevel="0" collapsed="false">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row>
    <row r="36" customFormat="false" ht="15" hidden="false" customHeight="true" outlineLevel="0" collapsed="false">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row>
    <row r="37" customFormat="false" ht="15" hidden="false" customHeight="true" outlineLevel="0" collapsed="false">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row>
    <row r="38" customFormat="false" ht="15" hidden="false" customHeight="true" outlineLevel="0" collapsed="false">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row>
    <row r="39" customFormat="false" ht="15" hidden="false" customHeight="true" outlineLevel="0" collapsed="false">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row>
    <row r="40" customFormat="false" ht="15" hidden="false" customHeight="true" outlineLevel="0" collapsed="false">
      <c r="A40" s="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row>
    <row r="41" customFormat="false" ht="15" hidden="false" customHeight="true" outlineLevel="0" collapsed="false">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row>
    <row r="42" customFormat="false" ht="15" hidden="false" customHeight="true" outlineLevel="0" collapsed="false">
      <c r="A42" s="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row>
    <row r="43" customFormat="false" ht="15" hidden="false" customHeight="true" outlineLevel="0" collapsed="false">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row>
    <row r="44" customFormat="false" ht="15" hidden="false" customHeight="true" outlineLevel="0" collapsed="false">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row>
    <row r="45" customFormat="false" ht="15" hidden="false" customHeight="true" outlineLevel="0" collapsed="false">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row>
    <row r="46" customFormat="false" ht="15" hidden="false" customHeight="true" outlineLevel="0" collapsed="false">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row>
    <row r="47" customFormat="false" ht="1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row>
    <row r="48" customFormat="false" ht="15" hidden="false" customHeight="true" outlineLevel="0" collapsed="false">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row>
    <row r="49" customFormat="false" ht="15" hidden="false" customHeight="true" outlineLevel="0" collapsed="false">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row>
    <row r="50" customFormat="false" ht="15" hidden="false" customHeight="true" outlineLevel="0" collapsed="false">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row>
    <row r="51" customFormat="false" ht="15" hidden="false" customHeight="true" outlineLevel="0" collapsed="false">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row>
    <row r="52" customFormat="false" ht="15" hidden="false" customHeight="true" outlineLevel="0" collapsed="false">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row>
    <row r="53" customFormat="false" ht="15" hidden="false" customHeight="true" outlineLevel="0" collapsed="false">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row>
    <row r="54" customFormat="false" ht="15" hidden="false" customHeight="true" outlineLevel="0" collapsed="false">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row>
    <row r="55" customFormat="false" ht="15" hidden="false" customHeight="true" outlineLevel="0" collapsed="false">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row>
    <row r="56" customFormat="false" ht="15" hidden="false" customHeight="true" outlineLevel="0" collapsed="false">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row>
    <row r="57" customFormat="false" ht="15" hidden="false" customHeight="tru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row>
    <row r="58" customFormat="false" ht="15" hidden="false" customHeight="true" outlineLevel="0" collapsed="false">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row>
    <row r="59" customFormat="false" ht="15" hidden="false" customHeight="true" outlineLevel="0" collapsed="false">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row>
    <row r="60" customFormat="false" ht="15" hidden="false" customHeight="true" outlineLevel="0" collapsed="false">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row>
    <row r="61" customFormat="false" ht="15" hidden="false" customHeight="true" outlineLevel="0" collapsed="false">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row>
    <row r="62" customFormat="false" ht="15" hidden="false" customHeight="true" outlineLevel="0" collapsed="false">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row>
    <row r="63" customFormat="false" ht="15" hidden="false" customHeight="true" outlineLevel="0" collapsed="false">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row>
    <row r="64" customFormat="false" ht="15" hidden="false" customHeight="true" outlineLevel="0" collapsed="false">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row>
    <row r="65" customFormat="false" ht="15" hidden="false" customHeight="true" outlineLevel="0" collapsed="false">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row>
    <row r="66" customFormat="false" ht="15" hidden="false" customHeight="true" outlineLevel="0" collapsed="false">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row>
    <row r="67" customFormat="false" ht="15" hidden="false" customHeight="true" outlineLevel="0" collapsed="false">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row>
    <row r="68" customFormat="false" ht="15" hidden="false" customHeight="true" outlineLevel="0" collapsed="false">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row>
    <row r="69" customFormat="false" ht="15" hidden="false" customHeight="true" outlineLevel="0" collapsed="false">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row>
    <row r="70" customFormat="false" ht="15" hidden="false" customHeight="true" outlineLevel="0" collapsed="false">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row>
    <row r="71" customFormat="false" ht="15" hidden="false" customHeight="true" outlineLevel="0" collapsed="false">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row>
    <row r="72" customFormat="false" ht="15" hidden="false" customHeight="true" outlineLevel="0" collapsed="false">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row>
    <row r="73" customFormat="false" ht="15" hidden="false" customHeight="true" outlineLevel="0" collapsed="false">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row>
    <row r="74" customFormat="false" ht="15" hidden="false" customHeight="true" outlineLevel="0" collapsed="false">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row>
    <row r="75" customFormat="false" ht="15" hidden="false" customHeight="true" outlineLevel="0" collapsed="false">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row>
    <row r="76" customFormat="false" ht="15" hidden="false" customHeight="true" outlineLevel="0" collapsed="false">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row>
    <row r="77" customFormat="false" ht="15" hidden="false" customHeight="true" outlineLevel="0" collapsed="false">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row>
    <row r="78" customFormat="false" ht="15" hidden="false" customHeight="true" outlineLevel="0" collapsed="false">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row>
    <row r="79" customFormat="false" ht="15" hidden="false" customHeight="true" outlineLevel="0" collapsed="false">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row>
    <row r="80" customFormat="false" ht="15" hidden="false" customHeight="true" outlineLevel="0" collapsed="false">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row>
    <row r="81" customFormat="false" ht="15" hidden="false" customHeight="true" outlineLevel="0" collapsed="false">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row>
    <row r="82" customFormat="false" ht="15" hidden="false" customHeight="true" outlineLevel="0" collapsed="false">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row>
    <row r="83" customFormat="false" ht="15" hidden="false" customHeight="true" outlineLevel="0" collapsed="false">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row>
    <row r="84" customFormat="false" ht="15" hidden="false" customHeight="true" outlineLevel="0" collapsed="false">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row>
    <row r="85" customFormat="false" ht="15" hidden="false" customHeight="true" outlineLevel="0" collapsed="false">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row>
    <row r="86" customFormat="false" ht="15" hidden="false" customHeight="true" outlineLevel="0" collapsed="false">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row>
    <row r="87" customFormat="false" ht="15" hidden="false" customHeight="true" outlineLevel="0" collapsed="false">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row>
    <row r="88" customFormat="false" ht="15" hidden="false" customHeight="true" outlineLevel="0" collapsed="false">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row>
    <row r="89" customFormat="false" ht="15" hidden="false" customHeight="true" outlineLevel="0" collapsed="false">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row>
    <row r="90" customFormat="false" ht="15" hidden="false" customHeight="true" outlineLevel="0" collapsed="false">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row>
    <row r="91" customFormat="false" ht="15" hidden="false" customHeight="true" outlineLevel="0" collapsed="false">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row>
    <row r="92" customFormat="false" ht="15" hidden="false" customHeight="true" outlineLevel="0" collapsed="false">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row>
    <row r="93" customFormat="false" ht="15" hidden="false" customHeight="true" outlineLevel="0" collapsed="false">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row>
    <row r="94" customFormat="false" ht="15" hidden="false" customHeight="true" outlineLevel="0" collapsed="false">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row>
    <row r="95" customFormat="false" ht="15" hidden="false" customHeight="true" outlineLevel="0" collapsed="false">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row>
    <row r="96" customFormat="false" ht="15" hidden="false" customHeight="true" outlineLevel="0" collapsed="false">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row>
    <row r="97" customFormat="false" ht="15" hidden="false" customHeight="true" outlineLevel="0" collapsed="false">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row>
    <row r="98" customFormat="false" ht="15" hidden="false" customHeight="true" outlineLevel="0" collapsed="false">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row>
    <row r="99" customFormat="false" ht="15" hidden="false" customHeight="true" outlineLevel="0" collapsed="false">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row>
    <row r="100" customFormat="false" ht="15" hidden="false" customHeight="true" outlineLevel="0" collapsed="false">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row>
  </sheetData>
  <mergeCells count="4">
    <mergeCell ref="A1:H1"/>
    <mergeCell ref="A3:H3"/>
    <mergeCell ref="A12:H12"/>
    <mergeCell ref="A21:H2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I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28"/>
    <col collapsed="false" customWidth="true" hidden="false" outlineLevel="0" max="8" min="3" style="1" width="22"/>
  </cols>
  <sheetData>
    <row r="1" customFormat="false" ht="30" hidden="false" customHeight="true" outlineLevel="0" collapsed="false">
      <c r="A1" s="2" t="s">
        <v>216</v>
      </c>
      <c r="B1" s="2"/>
      <c r="C1" s="2"/>
      <c r="D1" s="2"/>
      <c r="E1" s="2"/>
      <c r="F1" s="2"/>
      <c r="G1" s="2"/>
      <c r="H1" s="2"/>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row>
    <row r="2" customFormat="false" ht="15" hidden="false" customHeight="true" outlineLevel="0" collapsed="false">
      <c r="A2" s="3"/>
      <c r="B2" s="3"/>
      <c r="C2" s="3"/>
      <c r="D2" s="3"/>
      <c r="E2" s="3"/>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row>
    <row r="3" customFormat="false" ht="15" hidden="false" customHeight="true" outlineLevel="0" collapsed="false">
      <c r="A3" s="9" t="s">
        <v>217</v>
      </c>
      <c r="B3" s="9" t="s">
        <v>218</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row>
    <row r="4" customFormat="false" ht="15" hidden="false" customHeight="true" outlineLevel="0" collapsed="false">
      <c r="A4" s="3" t="s">
        <v>11</v>
      </c>
      <c r="B4" s="16" t="n">
        <f aca="false">'Property Info'!B4</f>
        <v>0</v>
      </c>
      <c r="C4" s="3"/>
      <c r="D4" s="3"/>
      <c r="E4" s="3"/>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row>
    <row r="5" customFormat="false" ht="15" hidden="false" customHeight="true" outlineLevel="0" collapsed="false">
      <c r="A5" s="3" t="s">
        <v>14</v>
      </c>
      <c r="B5" s="27" t="n">
        <f aca="false">'Property Info'!B7</f>
        <v>46210</v>
      </c>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row>
    <row r="6" customFormat="false" ht="15" hidden="false" customHeight="true" outlineLevel="0" collapsed="false">
      <c r="A6" s="3" t="s">
        <v>70</v>
      </c>
      <c r="B6" s="25" t="n">
        <f aca="false">'Property Info'!B12</f>
        <v>0</v>
      </c>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row>
    <row r="7" customFormat="false" ht="15" hidden="false" customHeight="true" outlineLevel="0" collapsed="false">
      <c r="A7" s="3" t="s">
        <v>85</v>
      </c>
      <c r="B7" s="25" t="n">
        <f aca="false">'Market Assumptions'!B6</f>
        <v>0</v>
      </c>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row>
    <row r="8" customFormat="false" ht="15" hidden="false" customHeight="true" outlineLevel="0" collapsed="false">
      <c r="A8" s="3" t="s">
        <v>194</v>
      </c>
      <c r="B8" s="25" t="n">
        <f aca="false">'Bulk Sale Analysis'!B12</f>
        <v>0</v>
      </c>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row>
    <row r="9" customFormat="false" ht="15" hidden="false" customHeight="true" outlineLevel="0" collapsed="false">
      <c r="A9" s="3" t="s">
        <v>182</v>
      </c>
      <c r="B9" s="20" t="n">
        <f aca="false">'Bulk Sale Analysis'!B4</f>
        <v>0</v>
      </c>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row>
    <row r="10" customFormat="false" ht="15" hidden="false" customHeight="true" outlineLevel="0" collapsed="false">
      <c r="A10" s="3" t="s">
        <v>153</v>
      </c>
      <c r="B10" s="17" t="n">
        <f aca="false">'Bulk Sale Analysis'!B13</f>
        <v>0</v>
      </c>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row>
    <row r="11" customFormat="false" ht="15" hidden="false" customHeight="true" outlineLevel="0" collapsed="false">
      <c r="A11" s="3" t="s">
        <v>178</v>
      </c>
      <c r="B11" s="20" t="n">
        <f aca="false">'Bulk Sale Analysis'!B10</f>
        <v>0</v>
      </c>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row>
    <row r="12" customFormat="false" ht="15" hidden="false" customHeight="true" outlineLevel="0" collapsed="false">
      <c r="A12" s="3" t="s">
        <v>192</v>
      </c>
      <c r="B12" s="17" t="n">
        <f aca="false">'Bulk Sale Analysis'!B11</f>
        <v>0</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row>
    <row r="13" customFormat="false" ht="15" hidden="false" customHeight="true" outlineLevel="0" collapsed="false">
      <c r="A13" s="3" t="s">
        <v>115</v>
      </c>
      <c r="B13" s="20" t="n">
        <f aca="false">'Development Costs'!B14</f>
        <v>0</v>
      </c>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row>
    <row r="14" customFormat="false" ht="15" hidden="false" customHeight="true" outlineLevel="0" collapsed="false">
      <c r="A14" s="3" t="s">
        <v>124</v>
      </c>
      <c r="B14" s="20" t="n">
        <f aca="false">'Development Costs'!B26</f>
        <v>0</v>
      </c>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row>
    <row r="15" customFormat="false" ht="15" hidden="false" customHeight="true" outlineLevel="0" collapsed="false">
      <c r="A15" s="3" t="s">
        <v>219</v>
      </c>
      <c r="B15" s="5" t="s">
        <v>220</v>
      </c>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row>
    <row r="16" customFormat="false" ht="15" hidden="false" customHeight="true" outlineLevel="0" collapsed="false">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row>
    <row r="17" customFormat="false" ht="15" hidden="false" customHeight="true" outlineLevel="0" collapsed="false">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row>
    <row r="18" customFormat="false" ht="15" hidden="false" customHeight="true" outlineLevel="0" collapsed="false">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row>
    <row r="19" customFormat="false" ht="15" hidden="false" customHeight="true" outlineLevel="0" collapsed="false">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row>
    <row r="20" customFormat="false" ht="15" hidden="false" customHeight="true" outlineLevel="0" collapsed="false">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row>
    <row r="21" customFormat="false" ht="15" hidden="false" customHeight="true" outlineLevel="0" collapsed="false">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row>
    <row r="22" customFormat="false" ht="15" hidden="false" customHeight="true" outlineLevel="0" collapsed="false">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row>
    <row r="23" customFormat="false" ht="15" hidden="false" customHeight="true" outlineLevel="0" collapsed="false">
      <c r="A23" s="3"/>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row>
    <row r="24" customFormat="false" ht="15" hidden="false" customHeight="true" outlineLevel="0" collapsed="false">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row>
    <row r="25" customFormat="false" ht="15" hidden="false" customHeight="true" outlineLevel="0" collapsed="false">
      <c r="A25" s="3"/>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row>
    <row r="26" customFormat="false" ht="15" hidden="false" customHeight="true" outlineLevel="0" collapsed="false">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row>
    <row r="27" customFormat="false" ht="15" hidden="false" customHeight="true" outlineLevel="0" collapsed="false">
      <c r="A27" s="3"/>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row>
    <row r="28" customFormat="false" ht="15" hidden="false" customHeight="true" outlineLevel="0" collapsed="false">
      <c r="A28" s="3"/>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row>
    <row r="29" customFormat="false" ht="15" hidden="false" customHeight="true" outlineLevel="0" collapsed="false">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row>
    <row r="30" customFormat="false" ht="15" hidden="false" customHeight="true" outlineLevel="0" collapsed="false">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row>
    <row r="31" customFormat="false" ht="15" hidden="false" customHeight="true" outlineLevel="0" collapsed="false">
      <c r="A31" s="3"/>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row>
    <row r="32" customFormat="false" ht="15" hidden="false" customHeight="true" outlineLevel="0" collapsed="false">
      <c r="A32" s="3"/>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row>
    <row r="33" customFormat="false" ht="15" hidden="false" customHeight="true" outlineLevel="0" collapsed="false">
      <c r="A33" s="3"/>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row>
    <row r="34" customFormat="false" ht="15" hidden="false" customHeight="true" outlineLevel="0" collapsed="false">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row>
    <row r="35" customFormat="false" ht="15" hidden="false" customHeight="true" outlineLevel="0" collapsed="false">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row>
    <row r="36" customFormat="false" ht="15" hidden="false" customHeight="true" outlineLevel="0" collapsed="false">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row>
    <row r="37" customFormat="false" ht="15" hidden="false" customHeight="true" outlineLevel="0" collapsed="false">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row>
    <row r="38" customFormat="false" ht="15" hidden="false" customHeight="true" outlineLevel="0" collapsed="false">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row>
    <row r="39" customFormat="false" ht="15" hidden="false" customHeight="true" outlineLevel="0" collapsed="false">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row>
    <row r="40" customFormat="false" ht="15" hidden="false" customHeight="true" outlineLevel="0" collapsed="false">
      <c r="A40" s="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row>
    <row r="41" customFormat="false" ht="15" hidden="false" customHeight="true" outlineLevel="0" collapsed="false">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row>
    <row r="42" customFormat="false" ht="15" hidden="false" customHeight="true" outlineLevel="0" collapsed="false">
      <c r="A42" s="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row>
    <row r="43" customFormat="false" ht="15" hidden="false" customHeight="true" outlineLevel="0" collapsed="false">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row>
    <row r="44" customFormat="false" ht="15" hidden="false" customHeight="true" outlineLevel="0" collapsed="false">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row>
    <row r="45" customFormat="false" ht="15" hidden="false" customHeight="true" outlineLevel="0" collapsed="false">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row>
    <row r="46" customFormat="false" ht="15" hidden="false" customHeight="true" outlineLevel="0" collapsed="false">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row>
    <row r="47" customFormat="false" ht="1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row>
    <row r="48" customFormat="false" ht="15" hidden="false" customHeight="true" outlineLevel="0" collapsed="false">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row>
    <row r="49" customFormat="false" ht="15" hidden="false" customHeight="true" outlineLevel="0" collapsed="false">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row>
    <row r="50" customFormat="false" ht="15" hidden="false" customHeight="true" outlineLevel="0" collapsed="false">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row>
    <row r="51" customFormat="false" ht="15" hidden="false" customHeight="true" outlineLevel="0" collapsed="false">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row>
    <row r="52" customFormat="false" ht="15" hidden="false" customHeight="true" outlineLevel="0" collapsed="false">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row>
    <row r="53" customFormat="false" ht="15" hidden="false" customHeight="true" outlineLevel="0" collapsed="false">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row>
    <row r="54" customFormat="false" ht="15" hidden="false" customHeight="true" outlineLevel="0" collapsed="false">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row>
    <row r="55" customFormat="false" ht="15" hidden="false" customHeight="true" outlineLevel="0" collapsed="false">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row>
    <row r="56" customFormat="false" ht="15" hidden="false" customHeight="true" outlineLevel="0" collapsed="false">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row>
    <row r="57" customFormat="false" ht="15" hidden="false" customHeight="tru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row>
    <row r="58" customFormat="false" ht="15" hidden="false" customHeight="true" outlineLevel="0" collapsed="false">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row>
    <row r="59" customFormat="false" ht="15" hidden="false" customHeight="true" outlineLevel="0" collapsed="false">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row>
    <row r="60" customFormat="false" ht="15" hidden="false" customHeight="true" outlineLevel="0" collapsed="false">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row>
    <row r="61" customFormat="false" ht="15" hidden="false" customHeight="true" outlineLevel="0" collapsed="false">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row>
    <row r="62" customFormat="false" ht="15" hidden="false" customHeight="true" outlineLevel="0" collapsed="false">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row>
    <row r="63" customFormat="false" ht="15" hidden="false" customHeight="true" outlineLevel="0" collapsed="false">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row>
    <row r="64" customFormat="false" ht="15" hidden="false" customHeight="true" outlineLevel="0" collapsed="false">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row>
    <row r="65" customFormat="false" ht="15" hidden="false" customHeight="true" outlineLevel="0" collapsed="false">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row>
    <row r="66" customFormat="false" ht="15" hidden="false" customHeight="true" outlineLevel="0" collapsed="false">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row>
    <row r="67" customFormat="false" ht="15" hidden="false" customHeight="true" outlineLevel="0" collapsed="false">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row>
    <row r="68" customFormat="false" ht="15" hidden="false" customHeight="true" outlineLevel="0" collapsed="false">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row>
    <row r="69" customFormat="false" ht="15" hidden="false" customHeight="true" outlineLevel="0" collapsed="false">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row>
    <row r="70" customFormat="false" ht="15" hidden="false" customHeight="true" outlineLevel="0" collapsed="false">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row>
    <row r="71" customFormat="false" ht="15" hidden="false" customHeight="true" outlineLevel="0" collapsed="false">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row>
    <row r="72" customFormat="false" ht="15" hidden="false" customHeight="true" outlineLevel="0" collapsed="false">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row>
    <row r="73" customFormat="false" ht="15" hidden="false" customHeight="true" outlineLevel="0" collapsed="false">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row>
    <row r="74" customFormat="false" ht="15" hidden="false" customHeight="true" outlineLevel="0" collapsed="false">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row>
    <row r="75" customFormat="false" ht="15" hidden="false" customHeight="true" outlineLevel="0" collapsed="false">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row>
    <row r="76" customFormat="false" ht="15" hidden="false" customHeight="true" outlineLevel="0" collapsed="false">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row>
    <row r="77" customFormat="false" ht="15" hidden="false" customHeight="true" outlineLevel="0" collapsed="false">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row>
    <row r="78" customFormat="false" ht="15" hidden="false" customHeight="true" outlineLevel="0" collapsed="false">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row>
    <row r="79" customFormat="false" ht="15" hidden="false" customHeight="true" outlineLevel="0" collapsed="false">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row>
    <row r="80" customFormat="false" ht="15" hidden="false" customHeight="true" outlineLevel="0" collapsed="false">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row>
    <row r="81" customFormat="false" ht="15" hidden="false" customHeight="true" outlineLevel="0" collapsed="false">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row>
    <row r="82" customFormat="false" ht="15" hidden="false" customHeight="true" outlineLevel="0" collapsed="false">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row>
    <row r="83" customFormat="false" ht="15" hidden="false" customHeight="true" outlineLevel="0" collapsed="false">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row>
    <row r="84" customFormat="false" ht="15" hidden="false" customHeight="true" outlineLevel="0" collapsed="false">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row>
    <row r="85" customFormat="false" ht="15" hidden="false" customHeight="true" outlineLevel="0" collapsed="false">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row>
    <row r="86" customFormat="false" ht="15" hidden="false" customHeight="true" outlineLevel="0" collapsed="false">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row>
    <row r="87" customFormat="false" ht="15" hidden="false" customHeight="true" outlineLevel="0" collapsed="false">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row>
    <row r="88" customFormat="false" ht="15" hidden="false" customHeight="true" outlineLevel="0" collapsed="false">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row>
    <row r="89" customFormat="false" ht="15" hidden="false" customHeight="true" outlineLevel="0" collapsed="false">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row>
    <row r="90" customFormat="false" ht="15" hidden="false" customHeight="true" outlineLevel="0" collapsed="false">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row>
    <row r="91" customFormat="false" ht="15" hidden="false" customHeight="true" outlineLevel="0" collapsed="false">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row>
    <row r="92" customFormat="false" ht="15" hidden="false" customHeight="true" outlineLevel="0" collapsed="false">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row>
    <row r="93" customFormat="false" ht="15" hidden="false" customHeight="true" outlineLevel="0" collapsed="false">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row>
    <row r="94" customFormat="false" ht="15" hidden="false" customHeight="true" outlineLevel="0" collapsed="false">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row>
    <row r="95" customFormat="false" ht="15" hidden="false" customHeight="true" outlineLevel="0" collapsed="false">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row>
    <row r="96" customFormat="false" ht="15" hidden="false" customHeight="true" outlineLevel="0" collapsed="false">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row>
    <row r="97" customFormat="false" ht="15" hidden="false" customHeight="true" outlineLevel="0" collapsed="false">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row>
    <row r="98" customFormat="false" ht="15" hidden="false" customHeight="true" outlineLevel="0" collapsed="false">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row>
    <row r="99" customFormat="false" ht="15" hidden="false" customHeight="true" outlineLevel="0" collapsed="false">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row>
    <row r="100" customFormat="false" ht="15" hidden="false" customHeight="true" outlineLevel="0" collapsed="false">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row>
  </sheetData>
  <mergeCells count="1">
    <mergeCell ref="A1:H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I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6"/>
    <col collapsed="false" customWidth="true" hidden="false" outlineLevel="0" max="3" min="2" style="1" width="22"/>
    <col collapsed="false" customWidth="true" hidden="false" outlineLevel="0" max="4" min="4" style="1" width="40"/>
    <col collapsed="false" customWidth="true" hidden="false" outlineLevel="0" max="8" min="5" style="1" width="22"/>
  </cols>
  <sheetData>
    <row r="1" customFormat="false" ht="30" hidden="false" customHeight="true" outlineLevel="0" collapsed="false">
      <c r="A1" s="2" t="s">
        <v>221</v>
      </c>
      <c r="B1" s="2"/>
      <c r="C1" s="2"/>
      <c r="D1" s="2"/>
      <c r="E1" s="2"/>
      <c r="F1" s="2"/>
      <c r="G1" s="2"/>
      <c r="H1" s="2"/>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row>
    <row r="2" customFormat="false" ht="15" hidden="false" customHeight="true" outlineLevel="0" collapsed="false">
      <c r="A2" s="3"/>
      <c r="B2" s="3"/>
      <c r="C2" s="3"/>
      <c r="D2" s="3"/>
      <c r="E2" s="3"/>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row>
    <row r="3" customFormat="false" ht="15" hidden="false" customHeight="true" outlineLevel="0" collapsed="false">
      <c r="A3" s="9" t="s">
        <v>222</v>
      </c>
      <c r="B3" s="9" t="s">
        <v>223</v>
      </c>
      <c r="C3" s="9" t="s">
        <v>224</v>
      </c>
      <c r="D3" s="9" t="s">
        <v>225</v>
      </c>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row>
    <row r="4" customFormat="false" ht="15" hidden="false" customHeight="true" outlineLevel="0" collapsed="false">
      <c r="A4" s="3" t="s">
        <v>226</v>
      </c>
      <c r="B4" s="16" t="str">
        <f aca="false">IF('Property Info'!B12&gt;0,"OK","Missing")</f>
        <v>Missing</v>
      </c>
      <c r="C4" s="16" t="s">
        <v>227</v>
      </c>
      <c r="D4" s="5"/>
      <c r="E4" s="3"/>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row>
    <row r="5" customFormat="false" ht="27.75" hidden="false" customHeight="true" outlineLevel="0" collapsed="false">
      <c r="A5" s="3" t="s">
        <v>228</v>
      </c>
      <c r="B5" s="16" t="str">
        <f aca="false">IF('Market Assumptions'!B4&gt;0,"OK","Missing")</f>
        <v>Missing</v>
      </c>
      <c r="C5" s="16" t="s">
        <v>229</v>
      </c>
      <c r="D5" s="5"/>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row>
    <row r="6" customFormat="false" ht="27.75" hidden="false" customHeight="true" outlineLevel="0" collapsed="false">
      <c r="A6" s="3" t="s">
        <v>230</v>
      </c>
      <c r="B6" s="16" t="str">
        <f aca="false">IF('Market Assumptions'!B6&gt;0,"OK","Missing")</f>
        <v>Missing</v>
      </c>
      <c r="C6" s="16" t="s">
        <v>231</v>
      </c>
      <c r="D6" s="5"/>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row>
    <row r="7" customFormat="false" ht="27.75" hidden="false" customHeight="true" outlineLevel="0" collapsed="false">
      <c r="A7" s="3" t="s">
        <v>232</v>
      </c>
      <c r="B7" s="16" t="str">
        <f aca="false">IF('Discount Rate Support'!C13&gt;0,"OK","Missing")</f>
        <v>Missing</v>
      </c>
      <c r="C7" s="16" t="s">
        <v>233</v>
      </c>
      <c r="D7" s="5"/>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row>
    <row r="8" customFormat="false" ht="27.75" hidden="false" customHeight="true" outlineLevel="0" collapsed="false">
      <c r="A8" s="3" t="s">
        <v>234</v>
      </c>
      <c r="B8" s="16" t="str">
        <f aca="false">"Reviewer"</f>
        <v>Reviewer</v>
      </c>
      <c r="C8" s="16" t="s">
        <v>235</v>
      </c>
      <c r="D8" s="5"/>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row>
    <row r="9" customFormat="false" ht="27.75" hidden="false" customHeight="true" outlineLevel="0" collapsed="false">
      <c r="A9" s="3" t="s">
        <v>236</v>
      </c>
      <c r="B9" s="16" t="str">
        <f aca="false">"Reviewer"</f>
        <v>Reviewer</v>
      </c>
      <c r="C9" s="16" t="s">
        <v>235</v>
      </c>
      <c r="D9" s="5"/>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row>
    <row r="10" customFormat="false" ht="15" hidden="false" customHeight="true" outlineLevel="0" collapsed="false">
      <c r="A10" s="3" t="s">
        <v>237</v>
      </c>
      <c r="B10" s="16" t="str">
        <f aca="false">"Reviewer"</f>
        <v>Reviewer</v>
      </c>
      <c r="C10" s="16" t="s">
        <v>238</v>
      </c>
      <c r="D10" s="5"/>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row>
    <row r="11" customFormat="false" ht="15" hidden="false" customHeight="true" outlineLevel="0" collapsed="false">
      <c r="A11" s="3" t="s">
        <v>239</v>
      </c>
      <c r="B11" s="16" t="str">
        <f aca="false">IF('Bulk Sale Analysis'!B11&lt;&gt;0,"OK","Check")</f>
        <v>Check</v>
      </c>
      <c r="C11" s="16" t="s">
        <v>240</v>
      </c>
      <c r="D11" s="5"/>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row>
    <row r="12" customFormat="false" ht="27.75" hidden="false" customHeight="true" outlineLevel="0" collapsed="false">
      <c r="A12" s="3" t="s">
        <v>241</v>
      </c>
      <c r="B12" s="16" t="str">
        <f aca="false">"Reviewer"</f>
        <v>Reviewer</v>
      </c>
      <c r="C12" s="16" t="s">
        <v>242</v>
      </c>
      <c r="D12" s="5"/>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row>
    <row r="13" customFormat="false" ht="15" hidden="false" customHeight="true" outlineLevel="0" collapsed="false">
      <c r="A13" s="3" t="s">
        <v>243</v>
      </c>
      <c r="B13" s="16" t="str">
        <f aca="false">"Reviewer"</f>
        <v>Reviewer</v>
      </c>
      <c r="C13" s="16" t="s">
        <v>244</v>
      </c>
      <c r="D13" s="5"/>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row>
    <row r="14" customFormat="false" ht="15" hidden="false" customHeight="true" outlineLevel="0" collapsed="false">
      <c r="A14" s="3" t="s">
        <v>245</v>
      </c>
      <c r="B14" s="16" t="str">
        <f aca="false">"Reviewer"</f>
        <v>Reviewer</v>
      </c>
      <c r="C14" s="16" t="s">
        <v>246</v>
      </c>
      <c r="D14" s="5"/>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row>
    <row r="15" customFormat="false" ht="15" hidden="false" customHeight="true" outlineLevel="0" collapsed="false">
      <c r="A15" s="3" t="s">
        <v>247</v>
      </c>
      <c r="B15" s="16" t="str">
        <f aca="false">"Reviewer"</f>
        <v>Reviewer</v>
      </c>
      <c r="C15" s="16" t="s">
        <v>248</v>
      </c>
      <c r="D15" s="5"/>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row>
    <row r="16" customFormat="false" ht="15" hidden="false" customHeight="true" outlineLevel="0" collapsed="false">
      <c r="A16" s="3" t="s">
        <v>249</v>
      </c>
      <c r="B16" s="16" t="str">
        <f aca="false">"Reviewer"</f>
        <v>Reviewer</v>
      </c>
      <c r="C16" s="16" t="s">
        <v>250</v>
      </c>
      <c r="D16" s="5"/>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row>
    <row r="17" customFormat="false" ht="15" hidden="false" customHeight="true" outlineLevel="0" collapsed="false">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row>
    <row r="18" customFormat="false" ht="15" hidden="false" customHeight="true" outlineLevel="0" collapsed="false">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row>
    <row r="19" customFormat="false" ht="15" hidden="false" customHeight="true" outlineLevel="0" collapsed="false">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row>
    <row r="20" customFormat="false" ht="15" hidden="false" customHeight="true" outlineLevel="0" collapsed="false">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row>
    <row r="21" customFormat="false" ht="15" hidden="false" customHeight="true" outlineLevel="0" collapsed="false">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row>
    <row r="22" customFormat="false" ht="15" hidden="false" customHeight="true" outlineLevel="0" collapsed="false">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row>
    <row r="23" customFormat="false" ht="15" hidden="false" customHeight="true" outlineLevel="0" collapsed="false">
      <c r="A23" s="3"/>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row>
    <row r="24" customFormat="false" ht="15" hidden="false" customHeight="true" outlineLevel="0" collapsed="false">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row>
    <row r="25" customFormat="false" ht="15" hidden="false" customHeight="true" outlineLevel="0" collapsed="false">
      <c r="A25" s="3"/>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row>
    <row r="26" customFormat="false" ht="15" hidden="false" customHeight="true" outlineLevel="0" collapsed="false">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row>
    <row r="27" customFormat="false" ht="15" hidden="false" customHeight="true" outlineLevel="0" collapsed="false">
      <c r="A27" s="3"/>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row>
    <row r="28" customFormat="false" ht="15" hidden="false" customHeight="true" outlineLevel="0" collapsed="false">
      <c r="A28" s="3"/>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row>
    <row r="29" customFormat="false" ht="15" hidden="false" customHeight="true" outlineLevel="0" collapsed="false">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row>
    <row r="30" customFormat="false" ht="15" hidden="false" customHeight="true" outlineLevel="0" collapsed="false">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row>
    <row r="31" customFormat="false" ht="15" hidden="false" customHeight="true" outlineLevel="0" collapsed="false">
      <c r="A31" s="3"/>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row>
    <row r="32" customFormat="false" ht="15" hidden="false" customHeight="true" outlineLevel="0" collapsed="false">
      <c r="A32" s="3"/>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row>
    <row r="33" customFormat="false" ht="15" hidden="false" customHeight="true" outlineLevel="0" collapsed="false">
      <c r="A33" s="3"/>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row>
    <row r="34" customFormat="false" ht="15" hidden="false" customHeight="true" outlineLevel="0" collapsed="false">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row>
    <row r="35" customFormat="false" ht="15" hidden="false" customHeight="true" outlineLevel="0" collapsed="false">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row>
    <row r="36" customFormat="false" ht="15" hidden="false" customHeight="true" outlineLevel="0" collapsed="false">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row>
    <row r="37" customFormat="false" ht="15" hidden="false" customHeight="true" outlineLevel="0" collapsed="false">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row>
    <row r="38" customFormat="false" ht="15" hidden="false" customHeight="true" outlineLevel="0" collapsed="false">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row>
    <row r="39" customFormat="false" ht="15" hidden="false" customHeight="true" outlineLevel="0" collapsed="false">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row>
    <row r="40" customFormat="false" ht="15" hidden="false" customHeight="true" outlineLevel="0" collapsed="false">
      <c r="A40" s="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row>
    <row r="41" customFormat="false" ht="15" hidden="false" customHeight="true" outlineLevel="0" collapsed="false">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row>
    <row r="42" customFormat="false" ht="15" hidden="false" customHeight="true" outlineLevel="0" collapsed="false">
      <c r="A42" s="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row>
    <row r="43" customFormat="false" ht="15" hidden="false" customHeight="true" outlineLevel="0" collapsed="false">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row>
    <row r="44" customFormat="false" ht="15" hidden="false" customHeight="true" outlineLevel="0" collapsed="false">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row>
    <row r="45" customFormat="false" ht="15" hidden="false" customHeight="true" outlineLevel="0" collapsed="false">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row>
    <row r="46" customFormat="false" ht="15" hidden="false" customHeight="true" outlineLevel="0" collapsed="false">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row>
    <row r="47" customFormat="false" ht="1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row>
    <row r="48" customFormat="false" ht="15" hidden="false" customHeight="true" outlineLevel="0" collapsed="false">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row>
    <row r="49" customFormat="false" ht="15" hidden="false" customHeight="true" outlineLevel="0" collapsed="false">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row>
    <row r="50" customFormat="false" ht="15" hidden="false" customHeight="true" outlineLevel="0" collapsed="false">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row>
    <row r="51" customFormat="false" ht="15" hidden="false" customHeight="true" outlineLevel="0" collapsed="false">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row>
    <row r="52" customFormat="false" ht="15" hidden="false" customHeight="true" outlineLevel="0" collapsed="false">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row>
    <row r="53" customFormat="false" ht="15" hidden="false" customHeight="true" outlineLevel="0" collapsed="false">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row>
    <row r="54" customFormat="false" ht="15" hidden="false" customHeight="true" outlineLevel="0" collapsed="false">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row>
    <row r="55" customFormat="false" ht="15" hidden="false" customHeight="true" outlineLevel="0" collapsed="false">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row>
    <row r="56" customFormat="false" ht="15" hidden="false" customHeight="true" outlineLevel="0" collapsed="false">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row>
    <row r="57" customFormat="false" ht="15" hidden="false" customHeight="tru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row>
    <row r="58" customFormat="false" ht="15" hidden="false" customHeight="true" outlineLevel="0" collapsed="false">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row>
    <row r="59" customFormat="false" ht="15" hidden="false" customHeight="true" outlineLevel="0" collapsed="false">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row>
    <row r="60" customFormat="false" ht="15" hidden="false" customHeight="true" outlineLevel="0" collapsed="false">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row>
    <row r="61" customFormat="false" ht="15" hidden="false" customHeight="true" outlineLevel="0" collapsed="false">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row>
    <row r="62" customFormat="false" ht="15" hidden="false" customHeight="true" outlineLevel="0" collapsed="false">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row>
    <row r="63" customFormat="false" ht="15" hidden="false" customHeight="true" outlineLevel="0" collapsed="false">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row>
    <row r="64" customFormat="false" ht="15" hidden="false" customHeight="true" outlineLevel="0" collapsed="false">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row>
    <row r="65" customFormat="false" ht="15" hidden="false" customHeight="true" outlineLevel="0" collapsed="false">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row>
    <row r="66" customFormat="false" ht="15" hidden="false" customHeight="true" outlineLevel="0" collapsed="false">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row>
    <row r="67" customFormat="false" ht="15" hidden="false" customHeight="true" outlineLevel="0" collapsed="false">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row>
    <row r="68" customFormat="false" ht="15" hidden="false" customHeight="true" outlineLevel="0" collapsed="false">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row>
    <row r="69" customFormat="false" ht="15" hidden="false" customHeight="true" outlineLevel="0" collapsed="false">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row>
    <row r="70" customFormat="false" ht="15" hidden="false" customHeight="true" outlineLevel="0" collapsed="false">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row>
    <row r="71" customFormat="false" ht="15" hidden="false" customHeight="true" outlineLevel="0" collapsed="false">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row>
    <row r="72" customFormat="false" ht="15" hidden="false" customHeight="true" outlineLevel="0" collapsed="false">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row>
    <row r="73" customFormat="false" ht="15" hidden="false" customHeight="true" outlineLevel="0" collapsed="false">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row>
    <row r="74" customFormat="false" ht="15" hidden="false" customHeight="true" outlineLevel="0" collapsed="false">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row>
    <row r="75" customFormat="false" ht="15" hidden="false" customHeight="true" outlineLevel="0" collapsed="false">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row>
    <row r="76" customFormat="false" ht="15" hidden="false" customHeight="true" outlineLevel="0" collapsed="false">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row>
    <row r="77" customFormat="false" ht="15" hidden="false" customHeight="true" outlineLevel="0" collapsed="false">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row>
    <row r="78" customFormat="false" ht="15" hidden="false" customHeight="true" outlineLevel="0" collapsed="false">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row>
    <row r="79" customFormat="false" ht="15" hidden="false" customHeight="true" outlineLevel="0" collapsed="false">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row>
    <row r="80" customFormat="false" ht="15" hidden="false" customHeight="true" outlineLevel="0" collapsed="false">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row>
    <row r="81" customFormat="false" ht="15" hidden="false" customHeight="true" outlineLevel="0" collapsed="false">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row>
    <row r="82" customFormat="false" ht="15" hidden="false" customHeight="true" outlineLevel="0" collapsed="false">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row>
    <row r="83" customFormat="false" ht="15" hidden="false" customHeight="true" outlineLevel="0" collapsed="false">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row>
    <row r="84" customFormat="false" ht="15" hidden="false" customHeight="true" outlineLevel="0" collapsed="false">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row>
    <row r="85" customFormat="false" ht="15" hidden="false" customHeight="true" outlineLevel="0" collapsed="false">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row>
    <row r="86" customFormat="false" ht="15" hidden="false" customHeight="true" outlineLevel="0" collapsed="false">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row>
    <row r="87" customFormat="false" ht="15" hidden="false" customHeight="true" outlineLevel="0" collapsed="false">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row>
    <row r="88" customFormat="false" ht="15" hidden="false" customHeight="true" outlineLevel="0" collapsed="false">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row>
    <row r="89" customFormat="false" ht="15" hidden="false" customHeight="true" outlineLevel="0" collapsed="false">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row>
    <row r="90" customFormat="false" ht="15" hidden="false" customHeight="true" outlineLevel="0" collapsed="false">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row>
    <row r="91" customFormat="false" ht="15" hidden="false" customHeight="true" outlineLevel="0" collapsed="false">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row>
    <row r="92" customFormat="false" ht="15" hidden="false" customHeight="true" outlineLevel="0" collapsed="false">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row>
    <row r="93" customFormat="false" ht="15" hidden="false" customHeight="true" outlineLevel="0" collapsed="false">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row>
    <row r="94" customFormat="false" ht="15" hidden="false" customHeight="true" outlineLevel="0" collapsed="false">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row>
    <row r="95" customFormat="false" ht="15" hidden="false" customHeight="true" outlineLevel="0" collapsed="false">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row>
    <row r="96" customFormat="false" ht="15" hidden="false" customHeight="true" outlineLevel="0" collapsed="false">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row>
    <row r="97" customFormat="false" ht="15" hidden="false" customHeight="true" outlineLevel="0" collapsed="false">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row>
    <row r="98" customFormat="false" ht="15" hidden="false" customHeight="true" outlineLevel="0" collapsed="false">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row>
    <row r="99" customFormat="false" ht="15" hidden="false" customHeight="true" outlineLevel="0" collapsed="false">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row>
    <row r="100" customFormat="false" ht="15" hidden="false" customHeight="true" outlineLevel="0" collapsed="false">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row>
  </sheetData>
  <mergeCells count="1">
    <mergeCell ref="A1:H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2026-07-11T13:53:46Z</dcterms:created>
  <dc:creator>openpyxl</dc:creator>
  <dc:description/>
  <dc:language>en-US</dc:language>
  <cp:lastModifiedBy/>
  <dcterms:modified xsi:type="dcterms:W3CDTF">2026-07-11T14:05:59Z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